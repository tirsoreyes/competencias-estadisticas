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Preguntas" sheetId="1" state="visible" r:id="rId1"/>
    <sheet xmlns:r="http://schemas.openxmlformats.org/officeDocument/2006/relationships" name="Base_Datos" sheetId="2" state="visible" r:id="rId2"/>
    <sheet xmlns:r="http://schemas.openxmlformats.org/officeDocument/2006/relationships" name="Resumen_Estadistico" sheetId="3" state="visible" r:id="rId3"/>
    <sheet xmlns:r="http://schemas.openxmlformats.org/officeDocument/2006/relationships" name="Frecuencias" sheetId="4" state="visible" r:id="rId4"/>
    <sheet xmlns:r="http://schemas.openxmlformats.org/officeDocument/2006/relationships" name="Intervalos" sheetId="5" state="visible" r:id="rId5"/>
    <sheet xmlns:r="http://schemas.openxmlformats.org/officeDocument/2006/relationships" name="Conceptos" sheetId="6" state="visible" r:id="rId6"/>
    <sheet xmlns:r="http://schemas.openxmlformats.org/officeDocument/2006/relationships" name="Graficas" sheetId="7" state="visible" r:id="rId7"/>
    <sheet xmlns:r="http://schemas.openxmlformats.org/officeDocument/2006/relationships" name="Guia_Excel" sheetId="8" state="visible" r:id="rId8"/>
    <sheet xmlns:r="http://schemas.openxmlformats.org/officeDocument/2006/relationships" name="Preguntas_Respuest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b val="1"/>
      <sz val="18"/>
    </font>
    <font>
      <b val="1"/>
      <sz val="12"/>
    </font>
    <font>
      <b val="1"/>
      <sz val="14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Situación laboral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'Frecuencias'!B4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'Frecuencias'!$A$5:$A$8</f>
            </numRef>
          </cat>
          <val>
            <numRef>
              <f>'Frecuencias'!$B$5:$B$8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Situación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Número de personas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Proporción por situación laboral</a:t>
            </a:r>
          </a:p>
        </rich>
      </tx>
    </title>
    <plotArea>
      <pieChart>
        <varyColors val="1"/>
        <ser>
          <idx val="0"/>
          <order val="0"/>
          <tx>
            <strRef>
              <f>'Frecuencias'!B4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'Frecuencias'!$A$5:$A$8</f>
            </numRef>
          </cat>
          <val>
            <numRef>
              <f>'Frecuencias'!$B$5:$B$8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salarios por intervalos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'Intervalos'!D3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'Intervalos'!$A$4:$A$9</f>
            </numRef>
          </cat>
          <val>
            <numRef>
              <f>'Intervalos'!$D$4:$D$9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Intervalo salarial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Frecuencia acumulada de salarios</a:t>
            </a:r>
          </a:p>
        </rich>
      </tx>
    </title>
    <plotArea>
      <lineChart>
        <grouping val="standard"/>
        <ser>
          <idx val="0"/>
          <order val="0"/>
          <tx>
            <strRef>
              <f>'Frecuencias'!D12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'Frecuencias'!$A$13:$A$18</f>
            </numRef>
          </cat>
          <val>
            <numRef>
              <f>'Frecuencias'!$D$13:$D$18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Intervalo salarial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Personas acumuladas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Experiencia laboral vs. salario</a:t>
            </a:r>
          </a:p>
        </rich>
      </tx>
    </title>
    <plotArea>
      <scatterChart>
        <ser>
          <idx val="0"/>
          <order val="0"/>
          <tx>
            <v>Personas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'Base_Datos'!$D$4:$D$103</f>
            </numRef>
          </xVal>
          <yVal>
            <numRef>
              <f>'Base_Datos'!$G$4:$G$103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Experiencia (años)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Salario mensual (MXN)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Salario promedio por experiencia</a:t>
            </a:r>
          </a:p>
        </rich>
      </tx>
    </title>
    <plotArea>
      <lineChart>
        <grouping val="standard"/>
        <ser>
          <idx val="0"/>
          <order val="0"/>
          <tx>
            <strRef>
              <f>'Graficas'!K37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'Graficas'!$J$38:$J$48</f>
            </numRef>
          </cat>
          <val>
            <numRef>
              <f>'Graficas'!$K$38:$K$48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Experiencia (años)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Salario promedio (MXN)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36</row>
      <rowOff>0</rowOff>
    </from>
    <ext cx="576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49</row>
      <rowOff>0</rowOff>
    </from>
    <ext cx="576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Práctica de Estadística Descriptiva</t>
        </is>
      </c>
      <c r="B1" s="2" t="n"/>
      <c r="C1" s="2" t="n"/>
      <c r="D1" s="2" t="n"/>
      <c r="E1" s="2" t="n"/>
      <c r="F1" s="2" t="n"/>
    </row>
    <row r="2">
      <c r="A2" s="3" t="inlineStr">
        <is>
          <t>Empleabilidad en México — caso didáctico con referencia a Veracruz y Playa Vicente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Contexto</t>
        </is>
      </c>
      <c r="B4" s="2" t="n"/>
      <c r="C4" s="2" t="n"/>
      <c r="D4" s="2" t="n"/>
      <c r="E4" s="2" t="n"/>
      <c r="F4" s="2" t="n"/>
    </row>
    <row r="5">
      <c r="A5" s="2" t="inlineStr">
        <is>
          <t>Los datos de esta práctica son SIMULADOS y se utilizan únicamente con fines educativos. Las variables están inspiradas en situaciones del mercado laboral mexicano. No representan una encuesta oficial de Playa Vicente.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4" t="inlineStr">
        <is>
          <t>Preguntas de investigación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inlineStr">
        <is>
          <t>1. ¿Cuál es la edad promedio de las personas de la muestra?</t>
        </is>
      </c>
      <c r="B11" s="2" t="n"/>
      <c r="C11" s="2" t="n"/>
      <c r="D11" s="2" t="n"/>
      <c r="E11" s="2" t="n"/>
      <c r="F11" s="2" t="n"/>
    </row>
    <row r="12">
      <c r="A12" s="2" t="inlineStr">
        <is>
          <t>2. ¿Cuál es el salario mensual promedio de las personas ocupadas?</t>
        </is>
      </c>
      <c r="B12" s="2" t="n"/>
      <c r="C12" s="2" t="n"/>
      <c r="D12" s="2" t="n"/>
      <c r="E12" s="2" t="n"/>
      <c r="F12" s="2" t="n"/>
    </row>
    <row r="13">
      <c r="A13" s="2" t="inlineStr">
        <is>
          <t>3. ¿Cuál es la mediana del salario y qué nos dice?</t>
        </is>
      </c>
      <c r="B13" s="2" t="n"/>
      <c r="C13" s="2" t="n"/>
      <c r="D13" s="2" t="n"/>
      <c r="E13" s="2" t="n"/>
      <c r="F13" s="2" t="n"/>
    </row>
    <row r="14">
      <c r="A14" s="2" t="inlineStr">
        <is>
          <t>4. ¿Cuál es el salario más frecuente (moda)?</t>
        </is>
      </c>
      <c r="B14" s="2" t="n"/>
      <c r="C14" s="2" t="n"/>
      <c r="D14" s="2" t="n"/>
      <c r="E14" s="2" t="n"/>
      <c r="F14" s="2" t="n"/>
    </row>
    <row r="15">
      <c r="A15" s="2" t="inlineStr">
        <is>
          <t>5. ¿Cuál es el salario mínimo y máximo entre las personas ocupadas?</t>
        </is>
      </c>
      <c r="B15" s="2" t="n"/>
      <c r="C15" s="2" t="n"/>
      <c r="D15" s="2" t="n"/>
      <c r="E15" s="2" t="n"/>
      <c r="F15" s="2" t="n"/>
    </row>
    <row r="16">
      <c r="A16" s="2" t="inlineStr">
        <is>
          <t>6. ¿Cuál es el rango de salarios?</t>
        </is>
      </c>
      <c r="B16" s="2" t="n"/>
      <c r="C16" s="2" t="n"/>
      <c r="D16" s="2" t="n"/>
      <c r="E16" s="2" t="n"/>
      <c r="F16" s="2" t="n"/>
    </row>
    <row r="17">
      <c r="A17" s="2" t="inlineStr">
        <is>
          <t>7. ¿Qué tan dispersos son los salarios? Interpreta la desviación estándar.</t>
        </is>
      </c>
      <c r="B17" s="2" t="n"/>
      <c r="C17" s="2" t="n"/>
      <c r="D17" s="2" t="n"/>
      <c r="E17" s="2" t="n"/>
      <c r="F17" s="2" t="n"/>
    </row>
    <row r="18">
      <c r="A18" s="2" t="inlineStr">
        <is>
          <t>8. ¿Qué porcentaje de la muestra está empleada, desempleada o trabaja por cuenta propia?</t>
        </is>
      </c>
      <c r="B18" s="2" t="n"/>
      <c r="C18" s="2" t="n"/>
      <c r="D18" s="2" t="n"/>
      <c r="E18" s="2" t="n"/>
      <c r="F18" s="2" t="n"/>
    </row>
    <row r="19">
      <c r="A19" s="2" t="inlineStr">
        <is>
          <t>9. ¿Qué porcentaje de la muestra tiene empleo formal?</t>
        </is>
      </c>
      <c r="B19" s="2" t="n"/>
      <c r="C19" s="2" t="n"/>
      <c r="D19" s="2" t="n"/>
      <c r="E19" s="2" t="n"/>
      <c r="F19" s="2" t="n"/>
    </row>
    <row r="20">
      <c r="A20" s="2" t="inlineStr">
        <is>
          <t>10. ¿Cuántas personas tienen hasta 2 años de experiencia?</t>
        </is>
      </c>
      <c r="B20" s="2" t="n"/>
      <c r="C20" s="2" t="n"/>
      <c r="D20" s="2" t="n"/>
      <c r="E20" s="2" t="n"/>
      <c r="F20" s="2" t="n"/>
    </row>
    <row r="21">
      <c r="A21" s="2" t="inlineStr">
        <is>
          <t>11. ¿Qué porcentaje de personas gana hasta $15,000 mensuales?</t>
        </is>
      </c>
      <c r="B21" s="2" t="n"/>
      <c r="C21" s="2" t="n"/>
      <c r="D21" s="2" t="n"/>
      <c r="E21" s="2" t="n"/>
      <c r="F21" s="2" t="n"/>
    </row>
    <row r="22">
      <c r="A22" s="2" t="inlineStr">
        <is>
          <t>12. ¿La media y la mediana del salario son parecidas? ¿Qué nos dicen los valores extremos?</t>
        </is>
      </c>
      <c r="B22" s="2" t="n"/>
      <c r="C22" s="2" t="n"/>
      <c r="D22" s="2" t="n"/>
      <c r="E22" s="2" t="n"/>
      <c r="F22" s="2" t="n"/>
    </row>
    <row r="23">
      <c r="A23" s="2" t="inlineStr">
        <is>
          <t>13. ¿Qué gráfica usarías para comparar la situación laboral?</t>
        </is>
      </c>
      <c r="B23" s="2" t="n"/>
      <c r="C23" s="2" t="n"/>
      <c r="D23" s="2" t="n"/>
      <c r="E23" s="2" t="n"/>
      <c r="F23" s="2" t="n"/>
    </row>
    <row r="24">
      <c r="A24" s="2" t="inlineStr">
        <is>
          <t>14. ¿Qué gráfica permite observar la distribución de salarios?</t>
        </is>
      </c>
      <c r="B24" s="2" t="n"/>
      <c r="C24" s="2" t="n"/>
      <c r="D24" s="2" t="n"/>
      <c r="E24" s="2" t="n"/>
      <c r="F24" s="2" t="n"/>
    </row>
    <row r="25">
      <c r="A25" s="2" t="inlineStr">
        <is>
          <t>15. ¿Se observa alguna tendencia entre experiencia laboral y salario?</t>
        </is>
      </c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4" t="inlineStr">
        <is>
          <t>Objetivo</t>
        </is>
      </c>
      <c r="B28" s="2" t="n"/>
      <c r="C28" s="2" t="n"/>
      <c r="D28" s="2" t="n"/>
      <c r="E28" s="2" t="n"/>
      <c r="F28" s="2" t="n"/>
    </row>
    <row r="29">
      <c r="A29" s="2" t="inlineStr">
        <is>
          <t>Calcular e interpretar medidas de tendencia central y dispersión, construir tablas de frecuencia y seleccionar gráficas adecuadas. La actividad enfatiza que calcular no es lo mismo que interpretar.</t>
        </is>
      </c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</sheetData>
  <mergeCells count="19">
    <mergeCell ref="A16:F16"/>
    <mergeCell ref="A12:F12"/>
    <mergeCell ref="A18:F18"/>
    <mergeCell ref="A21:F21"/>
    <mergeCell ref="A2:F2"/>
    <mergeCell ref="A14:F14"/>
    <mergeCell ref="A23:F23"/>
    <mergeCell ref="A22:F22"/>
    <mergeCell ref="A17:F17"/>
    <mergeCell ref="A20:F20"/>
    <mergeCell ref="A29:F31"/>
    <mergeCell ref="A5:F7"/>
    <mergeCell ref="A13:F13"/>
    <mergeCell ref="A19:F19"/>
    <mergeCell ref="A15:F15"/>
    <mergeCell ref="A24:F24"/>
    <mergeCell ref="A11:F11"/>
    <mergeCell ref="A1:F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20" customWidth="1" min="4" max="4"/>
    <col width="22" customWidth="1" min="5" max="5"/>
    <col width="25" customWidth="1" min="6" max="6"/>
    <col width="22" customWidth="1" min="7" max="7"/>
  </cols>
  <sheetData>
    <row r="1">
      <c r="A1" s="5" t="inlineStr">
        <is>
          <t>Base de datos simulada — Empleabilidad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6" t="inlineStr">
        <is>
          <t>ID</t>
        </is>
      </c>
      <c r="B3" s="6" t="inlineStr">
        <is>
          <t>Edad</t>
        </is>
      </c>
      <c r="C3" s="6" t="inlineStr">
        <is>
          <t>Escolaridad</t>
        </is>
      </c>
      <c r="D3" s="6" t="inlineStr">
        <is>
          <t>Experiencia (años)</t>
        </is>
      </c>
      <c r="E3" s="6" t="inlineStr">
        <is>
          <t>Situación laboral</t>
        </is>
      </c>
      <c r="F3" s="6" t="inlineStr">
        <is>
          <t>Tipo de empleo</t>
        </is>
      </c>
      <c r="G3" s="6" t="inlineStr">
        <is>
          <t>Salario mensual (MXN)</t>
        </is>
      </c>
    </row>
    <row r="4">
      <c r="A4" s="2" t="n">
        <v>1</v>
      </c>
      <c r="B4" s="2" t="n">
        <v>20</v>
      </c>
      <c r="C4" s="2" t="inlineStr">
        <is>
          <t>Licenciatura</t>
        </is>
      </c>
      <c r="D4" s="2" t="n">
        <v>0</v>
      </c>
      <c r="E4" s="2" t="inlineStr">
        <is>
          <t>Desempleado</t>
        </is>
      </c>
      <c r="F4" s="2" t="inlineStr">
        <is>
          <t>Sin empleo</t>
        </is>
      </c>
      <c r="G4" s="7" t="n">
        <v>0</v>
      </c>
    </row>
    <row r="5">
      <c r="A5" s="2" t="n">
        <v>2</v>
      </c>
      <c r="B5" s="2" t="n">
        <v>39</v>
      </c>
      <c r="C5" s="2" t="inlineStr">
        <is>
          <t>Bachillerato</t>
        </is>
      </c>
      <c r="D5" s="2" t="n">
        <v>19</v>
      </c>
      <c r="E5" s="2" t="inlineStr">
        <is>
          <t>Empleado formal</t>
        </is>
      </c>
      <c r="F5" s="2" t="inlineStr">
        <is>
          <t>Gobierno</t>
        </is>
      </c>
      <c r="G5" s="7" t="n">
        <v>18100</v>
      </c>
    </row>
    <row r="6">
      <c r="A6" s="2" t="n">
        <v>3</v>
      </c>
      <c r="B6" s="2" t="n">
        <v>21</v>
      </c>
      <c r="C6" s="2" t="inlineStr">
        <is>
          <t>Licenciatura</t>
        </is>
      </c>
      <c r="D6" s="2" t="n">
        <v>0</v>
      </c>
      <c r="E6" s="2" t="inlineStr">
        <is>
          <t>Independiente</t>
        </is>
      </c>
      <c r="F6" s="2" t="inlineStr">
        <is>
          <t>Comercio</t>
        </is>
      </c>
      <c r="G6" s="7" t="n">
        <v>6900</v>
      </c>
    </row>
    <row r="7">
      <c r="A7" s="2" t="n">
        <v>4</v>
      </c>
      <c r="B7" s="2" t="n">
        <v>30</v>
      </c>
      <c r="C7" s="2" t="inlineStr">
        <is>
          <t>Bachillerato</t>
        </is>
      </c>
      <c r="D7" s="2" t="n">
        <v>7</v>
      </c>
      <c r="E7" s="2" t="inlineStr">
        <is>
          <t>Desempleado</t>
        </is>
      </c>
      <c r="F7" s="2" t="inlineStr">
        <is>
          <t>Sin empleo</t>
        </is>
      </c>
      <c r="G7" s="7" t="n">
        <v>0</v>
      </c>
    </row>
    <row r="8">
      <c r="A8" s="2" t="n">
        <v>5</v>
      </c>
      <c r="B8" s="2" t="n">
        <v>26</v>
      </c>
      <c r="C8" s="2" t="inlineStr">
        <is>
          <t>Licenciatura</t>
        </is>
      </c>
      <c r="D8" s="2" t="n">
        <v>0</v>
      </c>
      <c r="E8" s="2" t="inlineStr">
        <is>
          <t>Independiente</t>
        </is>
      </c>
      <c r="F8" s="2" t="inlineStr">
        <is>
          <t>Comercio</t>
        </is>
      </c>
      <c r="G8" s="7" t="n">
        <v>8500</v>
      </c>
    </row>
    <row r="9">
      <c r="A9" s="2" t="n">
        <v>6</v>
      </c>
      <c r="B9" s="2" t="n">
        <v>45</v>
      </c>
      <c r="C9" s="2" t="inlineStr">
        <is>
          <t>Licenciatura</t>
        </is>
      </c>
      <c r="D9" s="2" t="n">
        <v>21</v>
      </c>
      <c r="E9" s="2" t="inlineStr">
        <is>
          <t>Desempleado</t>
        </is>
      </c>
      <c r="F9" s="2" t="inlineStr">
        <is>
          <t>Sin empleo</t>
        </is>
      </c>
      <c r="G9" s="7" t="n">
        <v>0</v>
      </c>
    </row>
    <row r="10">
      <c r="A10" s="2" t="n">
        <v>7</v>
      </c>
      <c r="B10" s="2" t="n">
        <v>42</v>
      </c>
      <c r="C10" s="2" t="inlineStr">
        <is>
          <t>Bachillerato</t>
        </is>
      </c>
      <c r="D10" s="2" t="n">
        <v>17</v>
      </c>
      <c r="E10" s="2" t="inlineStr">
        <is>
          <t>Empleado formal</t>
        </is>
      </c>
      <c r="F10" s="2" t="inlineStr">
        <is>
          <t>Organización</t>
        </is>
      </c>
      <c r="G10" s="7" t="n">
        <v>18500</v>
      </c>
    </row>
    <row r="11">
      <c r="A11" s="2" t="n">
        <v>8</v>
      </c>
      <c r="B11" s="2" t="n">
        <v>18</v>
      </c>
      <c r="C11" s="2" t="inlineStr">
        <is>
          <t>Técnico</t>
        </is>
      </c>
      <c r="D11" s="2" t="n">
        <v>0</v>
      </c>
      <c r="E11" s="2" t="inlineStr">
        <is>
          <t>Desempleado</t>
        </is>
      </c>
      <c r="F11" s="2" t="inlineStr">
        <is>
          <t>Sin empleo</t>
        </is>
      </c>
      <c r="G11" s="7" t="n">
        <v>0</v>
      </c>
    </row>
    <row r="12">
      <c r="A12" s="2" t="n">
        <v>9</v>
      </c>
      <c r="B12" s="2" t="n">
        <v>35</v>
      </c>
      <c r="C12" s="2" t="inlineStr">
        <is>
          <t>Licenciatura</t>
        </is>
      </c>
      <c r="D12" s="2" t="n">
        <v>15</v>
      </c>
      <c r="E12" s="2" t="inlineStr">
        <is>
          <t>Empleado informal</t>
        </is>
      </c>
      <c r="F12" s="2" t="inlineStr">
        <is>
          <t>Servicios</t>
        </is>
      </c>
      <c r="G12" s="7" t="n">
        <v>17000</v>
      </c>
    </row>
    <row r="13">
      <c r="A13" s="2" t="n">
        <v>10</v>
      </c>
      <c r="B13" s="2" t="n">
        <v>25</v>
      </c>
      <c r="C13" s="2" t="inlineStr">
        <is>
          <t>Técnico</t>
        </is>
      </c>
      <c r="D13" s="2" t="n">
        <v>0</v>
      </c>
      <c r="E13" s="2" t="inlineStr">
        <is>
          <t>Empleado informal</t>
        </is>
      </c>
      <c r="F13" s="2" t="inlineStr">
        <is>
          <t>Negocio familiar</t>
        </is>
      </c>
      <c r="G13" s="7" t="n">
        <v>3700</v>
      </c>
    </row>
    <row r="14">
      <c r="A14" s="2" t="n">
        <v>11</v>
      </c>
      <c r="B14" s="2" t="n">
        <v>41</v>
      </c>
      <c r="C14" s="2" t="inlineStr">
        <is>
          <t>Bachillerato</t>
        </is>
      </c>
      <c r="D14" s="2" t="n">
        <v>20</v>
      </c>
      <c r="E14" s="2" t="inlineStr">
        <is>
          <t>Empleado informal</t>
        </is>
      </c>
      <c r="F14" s="2" t="inlineStr">
        <is>
          <t>Negocio familiar</t>
        </is>
      </c>
      <c r="G14" s="7" t="n">
        <v>19300</v>
      </c>
    </row>
    <row r="15">
      <c r="A15" s="2" t="n">
        <v>12</v>
      </c>
      <c r="B15" s="2" t="n">
        <v>28</v>
      </c>
      <c r="C15" s="2" t="inlineStr">
        <is>
          <t>Licenciatura</t>
        </is>
      </c>
      <c r="D15" s="2" t="n">
        <v>5</v>
      </c>
      <c r="E15" s="2" t="inlineStr">
        <is>
          <t>Empleado formal</t>
        </is>
      </c>
      <c r="F15" s="2" t="inlineStr">
        <is>
          <t>Empresa privada</t>
        </is>
      </c>
      <c r="G15" s="7" t="n">
        <v>14900</v>
      </c>
    </row>
    <row r="16">
      <c r="A16" s="2" t="n">
        <v>13</v>
      </c>
      <c r="B16" s="2" t="n">
        <v>19</v>
      </c>
      <c r="C16" s="2" t="inlineStr">
        <is>
          <t>Bachillerato</t>
        </is>
      </c>
      <c r="D16" s="2" t="n">
        <v>0</v>
      </c>
      <c r="E16" s="2" t="inlineStr">
        <is>
          <t>Empleado informal</t>
        </is>
      </c>
      <c r="F16" s="2" t="inlineStr">
        <is>
          <t>Servicios</t>
        </is>
      </c>
      <c r="G16" s="7" t="n">
        <v>4800</v>
      </c>
    </row>
    <row r="17">
      <c r="A17" s="2" t="n">
        <v>14</v>
      </c>
      <c r="B17" s="2" t="n">
        <v>30</v>
      </c>
      <c r="C17" s="2" t="inlineStr">
        <is>
          <t>Bachillerato</t>
        </is>
      </c>
      <c r="D17" s="2" t="n">
        <v>7</v>
      </c>
      <c r="E17" s="2" t="inlineStr">
        <is>
          <t>Empleado formal</t>
        </is>
      </c>
      <c r="F17" s="2" t="inlineStr">
        <is>
          <t>Empresa privada</t>
        </is>
      </c>
      <c r="G17" s="7" t="n">
        <v>8000</v>
      </c>
    </row>
    <row r="18">
      <c r="A18" s="2" t="n">
        <v>15</v>
      </c>
      <c r="B18" s="2" t="n">
        <v>18</v>
      </c>
      <c r="C18" s="2" t="inlineStr">
        <is>
          <t>Bachillerato</t>
        </is>
      </c>
      <c r="D18" s="2" t="n">
        <v>0</v>
      </c>
      <c r="E18" s="2" t="inlineStr">
        <is>
          <t>Empleado formal</t>
        </is>
      </c>
      <c r="F18" s="2" t="inlineStr">
        <is>
          <t>Organización</t>
        </is>
      </c>
      <c r="G18" s="7" t="n">
        <v>4200</v>
      </c>
    </row>
    <row r="19">
      <c r="A19" s="2" t="n">
        <v>16</v>
      </c>
      <c r="B19" s="2" t="n">
        <v>22</v>
      </c>
      <c r="C19" s="2" t="inlineStr">
        <is>
          <t>Técnico</t>
        </is>
      </c>
      <c r="D19" s="2" t="n">
        <v>0</v>
      </c>
      <c r="E19" s="2" t="inlineStr">
        <is>
          <t>Empleado informal</t>
        </is>
      </c>
      <c r="F19" s="2" t="inlineStr">
        <is>
          <t>Negocio familiar</t>
        </is>
      </c>
      <c r="G19" s="7" t="n">
        <v>6500</v>
      </c>
    </row>
    <row r="20">
      <c r="A20" s="2" t="n">
        <v>17</v>
      </c>
      <c r="B20" s="2" t="n">
        <v>38</v>
      </c>
      <c r="C20" s="2" t="inlineStr">
        <is>
          <t>Bachillerato</t>
        </is>
      </c>
      <c r="D20" s="2" t="n">
        <v>16</v>
      </c>
      <c r="E20" s="2" t="inlineStr">
        <is>
          <t>Desempleado</t>
        </is>
      </c>
      <c r="F20" s="2" t="inlineStr">
        <is>
          <t>Sin empleo</t>
        </is>
      </c>
      <c r="G20" s="7" t="n">
        <v>0</v>
      </c>
    </row>
    <row r="21">
      <c r="A21" s="2" t="n">
        <v>18</v>
      </c>
      <c r="B21" s="2" t="n">
        <v>40</v>
      </c>
      <c r="C21" s="2" t="inlineStr">
        <is>
          <t>Bachillerato</t>
        </is>
      </c>
      <c r="D21" s="2" t="n">
        <v>22</v>
      </c>
      <c r="E21" s="2" t="inlineStr">
        <is>
          <t>Empleado formal</t>
        </is>
      </c>
      <c r="F21" s="2" t="inlineStr">
        <is>
          <t>Gobierno</t>
        </is>
      </c>
      <c r="G21" s="7" t="n">
        <v>18400</v>
      </c>
    </row>
    <row r="22">
      <c r="A22" s="2" t="n">
        <v>19</v>
      </c>
      <c r="B22" s="2" t="n">
        <v>22</v>
      </c>
      <c r="C22" s="2" t="inlineStr">
        <is>
          <t>Licenciatura</t>
        </is>
      </c>
      <c r="D22" s="2" t="n">
        <v>0</v>
      </c>
      <c r="E22" s="2" t="inlineStr">
        <is>
          <t>Empleado formal</t>
        </is>
      </c>
      <c r="F22" s="2" t="inlineStr">
        <is>
          <t>Gobierno</t>
        </is>
      </c>
      <c r="G22" s="7" t="n">
        <v>6300</v>
      </c>
    </row>
    <row r="23">
      <c r="A23" s="2" t="n">
        <v>20</v>
      </c>
      <c r="B23" s="2" t="n">
        <v>42</v>
      </c>
      <c r="C23" s="2" t="inlineStr">
        <is>
          <t>Técnico</t>
        </is>
      </c>
      <c r="D23" s="2" t="n">
        <v>0</v>
      </c>
      <c r="E23" s="2" t="inlineStr">
        <is>
          <t>Desempleado</t>
        </is>
      </c>
      <c r="F23" s="2" t="inlineStr">
        <is>
          <t>Sin empleo</t>
        </is>
      </c>
      <c r="G23" s="7" t="n">
        <v>0</v>
      </c>
    </row>
    <row r="24">
      <c r="A24" s="2" t="n">
        <v>21</v>
      </c>
      <c r="B24" s="2" t="n">
        <v>31</v>
      </c>
      <c r="C24" s="2" t="inlineStr">
        <is>
          <t>Licenciatura</t>
        </is>
      </c>
      <c r="D24" s="2" t="n">
        <v>12</v>
      </c>
      <c r="E24" s="2" t="inlineStr">
        <is>
          <t>Empleado informal</t>
        </is>
      </c>
      <c r="F24" s="2" t="inlineStr">
        <is>
          <t>Servicios</t>
        </is>
      </c>
      <c r="G24" s="7" t="n">
        <v>12400</v>
      </c>
    </row>
    <row r="25">
      <c r="A25" s="2" t="n">
        <v>22</v>
      </c>
      <c r="B25" s="2" t="n">
        <v>42</v>
      </c>
      <c r="C25" s="2" t="inlineStr">
        <is>
          <t>Posgrado</t>
        </is>
      </c>
      <c r="D25" s="2" t="n">
        <v>18</v>
      </c>
      <c r="E25" s="2" t="inlineStr">
        <is>
          <t>Desempleado</t>
        </is>
      </c>
      <c r="F25" s="2" t="inlineStr">
        <is>
          <t>Sin empleo</t>
        </is>
      </c>
      <c r="G25" s="7" t="n">
        <v>0</v>
      </c>
    </row>
    <row r="26">
      <c r="A26" s="2" t="n">
        <v>23</v>
      </c>
      <c r="B26" s="2" t="n">
        <v>28</v>
      </c>
      <c r="C26" s="2" t="inlineStr">
        <is>
          <t>Posgrado</t>
        </is>
      </c>
      <c r="D26" s="2" t="n">
        <v>0</v>
      </c>
      <c r="E26" s="2" t="inlineStr">
        <is>
          <t>Desempleado</t>
        </is>
      </c>
      <c r="F26" s="2" t="inlineStr">
        <is>
          <t>Sin empleo</t>
        </is>
      </c>
      <c r="G26" s="7" t="n">
        <v>0</v>
      </c>
    </row>
    <row r="27">
      <c r="A27" s="2" t="n">
        <v>24</v>
      </c>
      <c r="B27" s="2" t="n">
        <v>26</v>
      </c>
      <c r="C27" s="2" t="inlineStr">
        <is>
          <t>Licenciatura</t>
        </is>
      </c>
      <c r="D27" s="2" t="n">
        <v>4</v>
      </c>
      <c r="E27" s="2" t="inlineStr">
        <is>
          <t>Empleado formal</t>
        </is>
      </c>
      <c r="F27" s="2" t="inlineStr">
        <is>
          <t>Empresa privada</t>
        </is>
      </c>
      <c r="G27" s="7" t="n">
        <v>11400</v>
      </c>
    </row>
    <row r="28">
      <c r="A28" s="2" t="n">
        <v>25</v>
      </c>
      <c r="B28" s="2" t="n">
        <v>40</v>
      </c>
      <c r="C28" s="2" t="inlineStr">
        <is>
          <t>Licenciatura</t>
        </is>
      </c>
      <c r="D28" s="2" t="n">
        <v>21</v>
      </c>
      <c r="E28" s="2" t="inlineStr">
        <is>
          <t>Empleado informal</t>
        </is>
      </c>
      <c r="F28" s="2" t="inlineStr">
        <is>
          <t>Comercio</t>
        </is>
      </c>
      <c r="G28" s="7" t="n">
        <v>23100</v>
      </c>
    </row>
    <row r="29">
      <c r="A29" s="2" t="n">
        <v>26</v>
      </c>
      <c r="B29" s="2" t="n">
        <v>19</v>
      </c>
      <c r="C29" s="2" t="inlineStr">
        <is>
          <t>Bachillerato</t>
        </is>
      </c>
      <c r="D29" s="2" t="n">
        <v>0</v>
      </c>
      <c r="E29" s="2" t="inlineStr">
        <is>
          <t>Desempleado</t>
        </is>
      </c>
      <c r="F29" s="2" t="inlineStr">
        <is>
          <t>Sin empleo</t>
        </is>
      </c>
      <c r="G29" s="7" t="n">
        <v>0</v>
      </c>
    </row>
    <row r="30">
      <c r="A30" s="2" t="n">
        <v>27</v>
      </c>
      <c r="B30" s="2" t="n">
        <v>19</v>
      </c>
      <c r="C30" s="2" t="inlineStr">
        <is>
          <t>Licenciatura</t>
        </is>
      </c>
      <c r="D30" s="2" t="n">
        <v>1</v>
      </c>
      <c r="E30" s="2" t="inlineStr">
        <is>
          <t>Desempleado</t>
        </is>
      </c>
      <c r="F30" s="2" t="inlineStr">
        <is>
          <t>Sin empleo</t>
        </is>
      </c>
      <c r="G30" s="7" t="n">
        <v>0</v>
      </c>
    </row>
    <row r="31">
      <c r="A31" s="2" t="n">
        <v>28</v>
      </c>
      <c r="B31" s="2" t="n">
        <v>43</v>
      </c>
      <c r="C31" s="2" t="inlineStr">
        <is>
          <t>Bachillerato</t>
        </is>
      </c>
      <c r="D31" s="2" t="n">
        <v>24</v>
      </c>
      <c r="E31" s="2" t="inlineStr">
        <is>
          <t>Empleado informal</t>
        </is>
      </c>
      <c r="F31" s="2" t="inlineStr">
        <is>
          <t>Comercio</t>
        </is>
      </c>
      <c r="G31" s="7" t="n">
        <v>19500</v>
      </c>
    </row>
    <row r="32">
      <c r="A32" s="2" t="n">
        <v>29</v>
      </c>
      <c r="B32" s="2" t="n">
        <v>39</v>
      </c>
      <c r="C32" s="2" t="inlineStr">
        <is>
          <t>Licenciatura</t>
        </is>
      </c>
      <c r="D32" s="2" t="n">
        <v>20</v>
      </c>
      <c r="E32" s="2" t="inlineStr">
        <is>
          <t>Independiente</t>
        </is>
      </c>
      <c r="F32" s="2" t="inlineStr">
        <is>
          <t>Profesional</t>
        </is>
      </c>
      <c r="G32" s="7" t="n">
        <v>23600</v>
      </c>
    </row>
    <row r="33">
      <c r="A33" s="2" t="n">
        <v>30</v>
      </c>
      <c r="B33" s="2" t="n">
        <v>25</v>
      </c>
      <c r="C33" s="2" t="inlineStr">
        <is>
          <t>Técnico</t>
        </is>
      </c>
      <c r="D33" s="2" t="n">
        <v>5</v>
      </c>
      <c r="E33" s="2" t="inlineStr">
        <is>
          <t>Desempleado</t>
        </is>
      </c>
      <c r="F33" s="2" t="inlineStr">
        <is>
          <t>Sin empleo</t>
        </is>
      </c>
      <c r="G33" s="7" t="n">
        <v>0</v>
      </c>
    </row>
    <row r="34">
      <c r="A34" s="2" t="n">
        <v>31</v>
      </c>
      <c r="B34" s="2" t="n">
        <v>32</v>
      </c>
      <c r="C34" s="2" t="inlineStr">
        <is>
          <t>Licenciatura</t>
        </is>
      </c>
      <c r="D34" s="2" t="n">
        <v>11</v>
      </c>
      <c r="E34" s="2" t="inlineStr">
        <is>
          <t>Empleado informal</t>
        </is>
      </c>
      <c r="F34" s="2" t="inlineStr">
        <is>
          <t>Servicios</t>
        </is>
      </c>
      <c r="G34" s="7" t="n">
        <v>13000</v>
      </c>
    </row>
    <row r="35">
      <c r="A35" s="2" t="n">
        <v>32</v>
      </c>
      <c r="B35" s="2" t="n">
        <v>42</v>
      </c>
      <c r="C35" s="2" t="inlineStr">
        <is>
          <t>Técnico</t>
        </is>
      </c>
      <c r="D35" s="2" t="n">
        <v>0</v>
      </c>
      <c r="E35" s="2" t="inlineStr">
        <is>
          <t>Desempleado</t>
        </is>
      </c>
      <c r="F35" s="2" t="inlineStr">
        <is>
          <t>Sin empleo</t>
        </is>
      </c>
      <c r="G35" s="7" t="n">
        <v>0</v>
      </c>
    </row>
    <row r="36">
      <c r="A36" s="2" t="n">
        <v>33</v>
      </c>
      <c r="B36" s="2" t="n">
        <v>37</v>
      </c>
      <c r="C36" s="2" t="inlineStr">
        <is>
          <t>Licenciatura</t>
        </is>
      </c>
      <c r="D36" s="2" t="n">
        <v>18</v>
      </c>
      <c r="E36" s="2" t="inlineStr">
        <is>
          <t>Empleado formal</t>
        </is>
      </c>
      <c r="F36" s="2" t="inlineStr">
        <is>
          <t>Organización</t>
        </is>
      </c>
      <c r="G36" s="7" t="n">
        <v>20700</v>
      </c>
    </row>
    <row r="37">
      <c r="A37" s="2" t="n">
        <v>34</v>
      </c>
      <c r="B37" s="2" t="n">
        <v>23</v>
      </c>
      <c r="C37" s="2" t="inlineStr">
        <is>
          <t>Bachillerato</t>
        </is>
      </c>
      <c r="D37" s="2" t="n">
        <v>0</v>
      </c>
      <c r="E37" s="2" t="inlineStr">
        <is>
          <t>Empleado informal</t>
        </is>
      </c>
      <c r="F37" s="2" t="inlineStr">
        <is>
          <t>Negocio familiar</t>
        </is>
      </c>
      <c r="G37" s="7" t="n">
        <v>4000</v>
      </c>
    </row>
    <row r="38">
      <c r="A38" s="2" t="n">
        <v>35</v>
      </c>
      <c r="B38" s="2" t="n">
        <v>22</v>
      </c>
      <c r="C38" s="2" t="inlineStr">
        <is>
          <t>Licenciatura</t>
        </is>
      </c>
      <c r="D38" s="2" t="n">
        <v>0</v>
      </c>
      <c r="E38" s="2" t="inlineStr">
        <is>
          <t>Desempleado</t>
        </is>
      </c>
      <c r="F38" s="2" t="inlineStr">
        <is>
          <t>Sin empleo</t>
        </is>
      </c>
      <c r="G38" s="7" t="n">
        <v>0</v>
      </c>
    </row>
    <row r="39">
      <c r="A39" s="2" t="n">
        <v>36</v>
      </c>
      <c r="B39" s="2" t="n">
        <v>22</v>
      </c>
      <c r="C39" s="2" t="inlineStr">
        <is>
          <t>Licenciatura</t>
        </is>
      </c>
      <c r="D39" s="2" t="n">
        <v>0</v>
      </c>
      <c r="E39" s="2" t="inlineStr">
        <is>
          <t>Desempleado</t>
        </is>
      </c>
      <c r="F39" s="2" t="inlineStr">
        <is>
          <t>Sin empleo</t>
        </is>
      </c>
      <c r="G39" s="7" t="n">
        <v>0</v>
      </c>
    </row>
    <row r="40">
      <c r="A40" s="2" t="n">
        <v>37</v>
      </c>
      <c r="B40" s="2" t="n">
        <v>31</v>
      </c>
      <c r="C40" s="2" t="inlineStr">
        <is>
          <t>Bachillerato</t>
        </is>
      </c>
      <c r="D40" s="2" t="n">
        <v>7</v>
      </c>
      <c r="E40" s="2" t="inlineStr">
        <is>
          <t>Desempleado</t>
        </is>
      </c>
      <c r="F40" s="2" t="inlineStr">
        <is>
          <t>Sin empleo</t>
        </is>
      </c>
      <c r="G40" s="7" t="n">
        <v>0</v>
      </c>
    </row>
    <row r="41">
      <c r="A41" s="2" t="n">
        <v>38</v>
      </c>
      <c r="B41" s="2" t="n">
        <v>34</v>
      </c>
      <c r="C41" s="2" t="inlineStr">
        <is>
          <t>Técnico</t>
        </is>
      </c>
      <c r="D41" s="2" t="n">
        <v>12</v>
      </c>
      <c r="E41" s="2" t="inlineStr">
        <is>
          <t>Empleado formal</t>
        </is>
      </c>
      <c r="F41" s="2" t="inlineStr">
        <is>
          <t>Organización</t>
        </is>
      </c>
      <c r="G41" s="7" t="n">
        <v>12700</v>
      </c>
    </row>
    <row r="42">
      <c r="A42" s="2" t="n">
        <v>39</v>
      </c>
      <c r="B42" s="2" t="n">
        <v>34</v>
      </c>
      <c r="C42" s="2" t="inlineStr">
        <is>
          <t>Licenciatura</t>
        </is>
      </c>
      <c r="D42" s="2" t="n">
        <v>16</v>
      </c>
      <c r="E42" s="2" t="inlineStr">
        <is>
          <t>Empleado formal</t>
        </is>
      </c>
      <c r="F42" s="2" t="inlineStr">
        <is>
          <t>Organización</t>
        </is>
      </c>
      <c r="G42" s="7" t="n">
        <v>20300</v>
      </c>
    </row>
    <row r="43">
      <c r="A43" s="2" t="n">
        <v>40</v>
      </c>
      <c r="B43" s="2" t="n">
        <v>21</v>
      </c>
      <c r="C43" s="2" t="inlineStr">
        <is>
          <t>Licenciatura</t>
        </is>
      </c>
      <c r="D43" s="2" t="n">
        <v>3</v>
      </c>
      <c r="E43" s="2" t="inlineStr">
        <is>
          <t>Desempleado</t>
        </is>
      </c>
      <c r="F43" s="2" t="inlineStr">
        <is>
          <t>Sin empleo</t>
        </is>
      </c>
      <c r="G43" s="7" t="n">
        <v>0</v>
      </c>
    </row>
    <row r="44">
      <c r="A44" s="2" t="n">
        <v>41</v>
      </c>
      <c r="B44" s="2" t="n">
        <v>21</v>
      </c>
      <c r="C44" s="2" t="inlineStr">
        <is>
          <t>Licenciatura</t>
        </is>
      </c>
      <c r="D44" s="2" t="n">
        <v>0</v>
      </c>
      <c r="E44" s="2" t="inlineStr">
        <is>
          <t>Empleado informal</t>
        </is>
      </c>
      <c r="F44" s="2" t="inlineStr">
        <is>
          <t>Negocio familiar</t>
        </is>
      </c>
      <c r="G44" s="7" t="n">
        <v>10100</v>
      </c>
    </row>
    <row r="45">
      <c r="A45" s="2" t="n">
        <v>42</v>
      </c>
      <c r="B45" s="2" t="n">
        <v>44</v>
      </c>
      <c r="C45" s="2" t="inlineStr">
        <is>
          <t>Bachillerato</t>
        </is>
      </c>
      <c r="D45" s="2" t="n">
        <v>24</v>
      </c>
      <c r="E45" s="2" t="inlineStr">
        <is>
          <t>Empleado informal</t>
        </is>
      </c>
      <c r="F45" s="2" t="inlineStr">
        <is>
          <t>Servicios</t>
        </is>
      </c>
      <c r="G45" s="7" t="n">
        <v>20400</v>
      </c>
    </row>
    <row r="46">
      <c r="A46" s="2" t="n">
        <v>43</v>
      </c>
      <c r="B46" s="2" t="n">
        <v>23</v>
      </c>
      <c r="C46" s="2" t="inlineStr">
        <is>
          <t>Licenciatura</t>
        </is>
      </c>
      <c r="D46" s="2" t="n">
        <v>0</v>
      </c>
      <c r="E46" s="2" t="inlineStr">
        <is>
          <t>Desempleado</t>
        </is>
      </c>
      <c r="F46" s="2" t="inlineStr">
        <is>
          <t>Sin empleo</t>
        </is>
      </c>
      <c r="G46" s="7" t="n">
        <v>0</v>
      </c>
    </row>
    <row r="47">
      <c r="A47" s="2" t="n">
        <v>44</v>
      </c>
      <c r="B47" s="2" t="n">
        <v>26</v>
      </c>
      <c r="C47" s="2" t="inlineStr">
        <is>
          <t>Licenciatura</t>
        </is>
      </c>
      <c r="D47" s="2" t="n">
        <v>2</v>
      </c>
      <c r="E47" s="2" t="inlineStr">
        <is>
          <t>Desempleado</t>
        </is>
      </c>
      <c r="F47" s="2" t="inlineStr">
        <is>
          <t>Sin empleo</t>
        </is>
      </c>
      <c r="G47" s="7" t="n">
        <v>0</v>
      </c>
    </row>
    <row r="48">
      <c r="A48" s="2" t="n">
        <v>45</v>
      </c>
      <c r="B48" s="2" t="n">
        <v>26</v>
      </c>
      <c r="C48" s="2" t="inlineStr">
        <is>
          <t>Licenciatura</t>
        </is>
      </c>
      <c r="D48" s="2" t="n">
        <v>4</v>
      </c>
      <c r="E48" s="2" t="inlineStr">
        <is>
          <t>Desempleado</t>
        </is>
      </c>
      <c r="F48" s="2" t="inlineStr">
        <is>
          <t>Sin empleo</t>
        </is>
      </c>
      <c r="G48" s="7" t="n">
        <v>0</v>
      </c>
    </row>
    <row r="49">
      <c r="A49" s="2" t="n">
        <v>46</v>
      </c>
      <c r="B49" s="2" t="n">
        <v>23</v>
      </c>
      <c r="C49" s="2" t="inlineStr">
        <is>
          <t>Licenciatura</t>
        </is>
      </c>
      <c r="D49" s="2" t="n">
        <v>5</v>
      </c>
      <c r="E49" s="2" t="inlineStr">
        <is>
          <t>Empleado formal</t>
        </is>
      </c>
      <c r="F49" s="2" t="inlineStr">
        <is>
          <t>Organización</t>
        </is>
      </c>
      <c r="G49" s="7" t="n">
        <v>11300</v>
      </c>
    </row>
    <row r="50">
      <c r="A50" s="2" t="n">
        <v>47</v>
      </c>
      <c r="B50" s="2" t="n">
        <v>19</v>
      </c>
      <c r="C50" s="2" t="inlineStr">
        <is>
          <t>Licenciatura</t>
        </is>
      </c>
      <c r="D50" s="2" t="n">
        <v>1</v>
      </c>
      <c r="E50" s="2" t="inlineStr">
        <is>
          <t>Empleado formal</t>
        </is>
      </c>
      <c r="F50" s="2" t="inlineStr">
        <is>
          <t>Empresa privada</t>
        </is>
      </c>
      <c r="G50" s="7" t="n">
        <v>6500</v>
      </c>
    </row>
    <row r="51">
      <c r="A51" s="2" t="n">
        <v>48</v>
      </c>
      <c r="B51" s="2" t="n">
        <v>43</v>
      </c>
      <c r="C51" s="2" t="inlineStr">
        <is>
          <t>Bachillerato</t>
        </is>
      </c>
      <c r="D51" s="2" t="n">
        <v>20</v>
      </c>
      <c r="E51" s="2" t="inlineStr">
        <is>
          <t>Empleado informal</t>
        </is>
      </c>
      <c r="F51" s="2" t="inlineStr">
        <is>
          <t>Comercio</t>
        </is>
      </c>
      <c r="G51" s="7" t="n">
        <v>16800</v>
      </c>
    </row>
    <row r="52">
      <c r="A52" s="2" t="n">
        <v>49</v>
      </c>
      <c r="B52" s="2" t="n">
        <v>33</v>
      </c>
      <c r="C52" s="2" t="inlineStr">
        <is>
          <t>Licenciatura</t>
        </is>
      </c>
      <c r="D52" s="2" t="n">
        <v>15</v>
      </c>
      <c r="E52" s="2" t="inlineStr">
        <is>
          <t>Independiente</t>
        </is>
      </c>
      <c r="F52" s="2" t="inlineStr">
        <is>
          <t>Servicios</t>
        </is>
      </c>
      <c r="G52" s="7" t="n">
        <v>17500</v>
      </c>
    </row>
    <row r="53">
      <c r="A53" s="2" t="n">
        <v>50</v>
      </c>
      <c r="B53" s="2" t="n">
        <v>23</v>
      </c>
      <c r="C53" s="2" t="inlineStr">
        <is>
          <t>Licenciatura</t>
        </is>
      </c>
      <c r="D53" s="2" t="n">
        <v>0</v>
      </c>
      <c r="E53" s="2" t="inlineStr">
        <is>
          <t>Desempleado</t>
        </is>
      </c>
      <c r="F53" s="2" t="inlineStr">
        <is>
          <t>Sin empleo</t>
        </is>
      </c>
      <c r="G53" s="7" t="n">
        <v>0</v>
      </c>
    </row>
    <row r="54">
      <c r="A54" s="2" t="n">
        <v>51</v>
      </c>
      <c r="B54" s="2" t="n">
        <v>28</v>
      </c>
      <c r="C54" s="2" t="inlineStr">
        <is>
          <t>Bachillerato</t>
        </is>
      </c>
      <c r="D54" s="2" t="n">
        <v>10</v>
      </c>
      <c r="E54" s="2" t="inlineStr">
        <is>
          <t>Empleado informal</t>
        </is>
      </c>
      <c r="F54" s="2" t="inlineStr">
        <is>
          <t>Comercio</t>
        </is>
      </c>
      <c r="G54" s="7" t="n">
        <v>12800</v>
      </c>
    </row>
    <row r="55">
      <c r="A55" s="2" t="n">
        <v>52</v>
      </c>
      <c r="B55" s="2" t="n">
        <v>39</v>
      </c>
      <c r="C55" s="2" t="inlineStr">
        <is>
          <t>Licenciatura</t>
        </is>
      </c>
      <c r="D55" s="2" t="n">
        <v>17</v>
      </c>
      <c r="E55" s="2" t="inlineStr">
        <is>
          <t>Desempleado</t>
        </is>
      </c>
      <c r="F55" s="2" t="inlineStr">
        <is>
          <t>Sin empleo</t>
        </is>
      </c>
      <c r="G55" s="7" t="n">
        <v>0</v>
      </c>
    </row>
    <row r="56">
      <c r="A56" s="2" t="n">
        <v>53</v>
      </c>
      <c r="B56" s="2" t="n">
        <v>32</v>
      </c>
      <c r="C56" s="2" t="inlineStr">
        <is>
          <t>Licenciatura</t>
        </is>
      </c>
      <c r="D56" s="2" t="n">
        <v>0</v>
      </c>
      <c r="E56" s="2" t="inlineStr">
        <is>
          <t>Desempleado</t>
        </is>
      </c>
      <c r="F56" s="2" t="inlineStr">
        <is>
          <t>Sin empleo</t>
        </is>
      </c>
      <c r="G56" s="7" t="n">
        <v>0</v>
      </c>
    </row>
    <row r="57">
      <c r="A57" s="2" t="n">
        <v>54</v>
      </c>
      <c r="B57" s="2" t="n">
        <v>27</v>
      </c>
      <c r="C57" s="2" t="inlineStr">
        <is>
          <t>Bachillerato</t>
        </is>
      </c>
      <c r="D57" s="2" t="n">
        <v>2</v>
      </c>
      <c r="E57" s="2" t="inlineStr">
        <is>
          <t>Desempleado</t>
        </is>
      </c>
      <c r="F57" s="2" t="inlineStr">
        <is>
          <t>Sin empleo</t>
        </is>
      </c>
      <c r="G57" s="7" t="n">
        <v>0</v>
      </c>
    </row>
    <row r="58">
      <c r="A58" s="2" t="n">
        <v>55</v>
      </c>
      <c r="B58" s="2" t="n">
        <v>34</v>
      </c>
      <c r="C58" s="2" t="inlineStr">
        <is>
          <t>Técnico</t>
        </is>
      </c>
      <c r="D58" s="2" t="n">
        <v>13</v>
      </c>
      <c r="E58" s="2" t="inlineStr">
        <is>
          <t>Desempleado</t>
        </is>
      </c>
      <c r="F58" s="2" t="inlineStr">
        <is>
          <t>Sin empleo</t>
        </is>
      </c>
      <c r="G58" s="7" t="n">
        <v>0</v>
      </c>
    </row>
    <row r="59">
      <c r="A59" s="2" t="n">
        <v>56</v>
      </c>
      <c r="B59" s="2" t="n">
        <v>32</v>
      </c>
      <c r="C59" s="2" t="inlineStr">
        <is>
          <t>Bachillerato</t>
        </is>
      </c>
      <c r="D59" s="2" t="n">
        <v>13</v>
      </c>
      <c r="E59" s="2" t="inlineStr">
        <is>
          <t>Empleado informal</t>
        </is>
      </c>
      <c r="F59" s="2" t="inlineStr">
        <is>
          <t>Negocio familiar</t>
        </is>
      </c>
      <c r="G59" s="7" t="n">
        <v>13900</v>
      </c>
    </row>
    <row r="60">
      <c r="A60" s="2" t="n">
        <v>57</v>
      </c>
      <c r="B60" s="2" t="n">
        <v>24</v>
      </c>
      <c r="C60" s="2" t="inlineStr">
        <is>
          <t>Licenciatura</t>
        </is>
      </c>
      <c r="D60" s="2" t="n">
        <v>1</v>
      </c>
      <c r="E60" s="2" t="inlineStr">
        <is>
          <t>Desempleado</t>
        </is>
      </c>
      <c r="F60" s="2" t="inlineStr">
        <is>
          <t>Sin empleo</t>
        </is>
      </c>
      <c r="G60" s="7" t="n">
        <v>0</v>
      </c>
    </row>
    <row r="61">
      <c r="A61" s="2" t="n">
        <v>58</v>
      </c>
      <c r="B61" s="2" t="n">
        <v>20</v>
      </c>
      <c r="C61" s="2" t="inlineStr">
        <is>
          <t>Licenciatura</t>
        </is>
      </c>
      <c r="D61" s="2" t="n">
        <v>0</v>
      </c>
      <c r="E61" s="2" t="inlineStr">
        <is>
          <t>Empleado informal</t>
        </is>
      </c>
      <c r="F61" s="2" t="inlineStr">
        <is>
          <t>Comercio</t>
        </is>
      </c>
      <c r="G61" s="7" t="n">
        <v>11800</v>
      </c>
    </row>
    <row r="62">
      <c r="A62" s="2" t="n">
        <v>59</v>
      </c>
      <c r="B62" s="2" t="n">
        <v>18</v>
      </c>
      <c r="C62" s="2" t="inlineStr">
        <is>
          <t>Licenciatura</t>
        </is>
      </c>
      <c r="D62" s="2" t="n">
        <v>0</v>
      </c>
      <c r="E62" s="2" t="inlineStr">
        <is>
          <t>Empleado informal</t>
        </is>
      </c>
      <c r="F62" s="2" t="inlineStr">
        <is>
          <t>Comercio</t>
        </is>
      </c>
      <c r="G62" s="7" t="n">
        <v>5600</v>
      </c>
    </row>
    <row r="63">
      <c r="A63" s="2" t="n">
        <v>60</v>
      </c>
      <c r="B63" s="2" t="n">
        <v>35</v>
      </c>
      <c r="C63" s="2" t="inlineStr">
        <is>
          <t>Bachillerato</t>
        </is>
      </c>
      <c r="D63" s="2" t="n">
        <v>11</v>
      </c>
      <c r="E63" s="2" t="inlineStr">
        <is>
          <t>Empleado informal</t>
        </is>
      </c>
      <c r="F63" s="2" t="inlineStr">
        <is>
          <t>Negocio familiar</t>
        </is>
      </c>
      <c r="G63" s="7" t="n">
        <v>12600</v>
      </c>
    </row>
    <row r="64">
      <c r="A64" s="2" t="n">
        <v>61</v>
      </c>
      <c r="B64" s="2" t="n">
        <v>24</v>
      </c>
      <c r="C64" s="2" t="inlineStr">
        <is>
          <t>Licenciatura</t>
        </is>
      </c>
      <c r="D64" s="2" t="n">
        <v>0</v>
      </c>
      <c r="E64" s="2" t="inlineStr">
        <is>
          <t>Empleado formal</t>
        </is>
      </c>
      <c r="F64" s="2" t="inlineStr">
        <is>
          <t>Gobierno</t>
        </is>
      </c>
      <c r="G64" s="7" t="n">
        <v>8300</v>
      </c>
    </row>
    <row r="65">
      <c r="A65" s="2" t="n">
        <v>62</v>
      </c>
      <c r="B65" s="2" t="n">
        <v>21</v>
      </c>
      <c r="C65" s="2" t="inlineStr">
        <is>
          <t>Posgrado</t>
        </is>
      </c>
      <c r="D65" s="2" t="n">
        <v>0</v>
      </c>
      <c r="E65" s="2" t="inlineStr">
        <is>
          <t>Desempleado</t>
        </is>
      </c>
      <c r="F65" s="2" t="inlineStr">
        <is>
          <t>Sin empleo</t>
        </is>
      </c>
      <c r="G65" s="7" t="n">
        <v>0</v>
      </c>
    </row>
    <row r="66">
      <c r="A66" s="2" t="n">
        <v>63</v>
      </c>
      <c r="B66" s="2" t="n">
        <v>24</v>
      </c>
      <c r="C66" s="2" t="inlineStr">
        <is>
          <t>Licenciatura</t>
        </is>
      </c>
      <c r="D66" s="2" t="n">
        <v>0</v>
      </c>
      <c r="E66" s="2" t="inlineStr">
        <is>
          <t>Empleado informal</t>
        </is>
      </c>
      <c r="F66" s="2" t="inlineStr">
        <is>
          <t>Comercio</t>
        </is>
      </c>
      <c r="G66" s="7" t="n">
        <v>50000</v>
      </c>
    </row>
    <row r="67">
      <c r="A67" s="2" t="n">
        <v>64</v>
      </c>
      <c r="B67" s="2" t="n">
        <v>37</v>
      </c>
      <c r="C67" s="2" t="inlineStr">
        <is>
          <t>Bachillerato</t>
        </is>
      </c>
      <c r="D67" s="2" t="n">
        <v>12</v>
      </c>
      <c r="E67" s="2" t="inlineStr">
        <is>
          <t>Empleado formal</t>
        </is>
      </c>
      <c r="F67" s="2" t="inlineStr">
        <is>
          <t>Empresa privada</t>
        </is>
      </c>
      <c r="G67" s="7" t="n">
        <v>17100</v>
      </c>
    </row>
    <row r="68">
      <c r="A68" s="2" t="n">
        <v>65</v>
      </c>
      <c r="B68" s="2" t="n">
        <v>39</v>
      </c>
      <c r="C68" s="2" t="inlineStr">
        <is>
          <t>Licenciatura</t>
        </is>
      </c>
      <c r="D68" s="2" t="n">
        <v>20</v>
      </c>
      <c r="E68" s="2" t="inlineStr">
        <is>
          <t>Empleado informal</t>
        </is>
      </c>
      <c r="F68" s="2" t="inlineStr">
        <is>
          <t>Negocio familiar</t>
        </is>
      </c>
      <c r="G68" s="7" t="n">
        <v>20900</v>
      </c>
    </row>
    <row r="69">
      <c r="A69" s="2" t="n">
        <v>66</v>
      </c>
      <c r="B69" s="2" t="n">
        <v>18</v>
      </c>
      <c r="C69" s="2" t="inlineStr">
        <is>
          <t>Bachillerato</t>
        </is>
      </c>
      <c r="D69" s="2" t="n">
        <v>0</v>
      </c>
      <c r="E69" s="2" t="inlineStr">
        <is>
          <t>Desempleado</t>
        </is>
      </c>
      <c r="F69" s="2" t="inlineStr">
        <is>
          <t>Sin empleo</t>
        </is>
      </c>
      <c r="G69" s="7" t="n">
        <v>0</v>
      </c>
    </row>
    <row r="70">
      <c r="A70" s="2" t="n">
        <v>67</v>
      </c>
      <c r="B70" s="2" t="n">
        <v>22</v>
      </c>
      <c r="C70" s="2" t="inlineStr">
        <is>
          <t>Licenciatura</t>
        </is>
      </c>
      <c r="D70" s="2" t="n">
        <v>1</v>
      </c>
      <c r="E70" s="2" t="inlineStr">
        <is>
          <t>Desempleado</t>
        </is>
      </c>
      <c r="F70" s="2" t="inlineStr">
        <is>
          <t>Sin empleo</t>
        </is>
      </c>
      <c r="G70" s="7" t="n">
        <v>0</v>
      </c>
    </row>
    <row r="71">
      <c r="A71" s="2" t="n">
        <v>68</v>
      </c>
      <c r="B71" s="2" t="n">
        <v>34</v>
      </c>
      <c r="C71" s="2" t="inlineStr">
        <is>
          <t>Bachillerato</t>
        </is>
      </c>
      <c r="D71" s="2" t="n">
        <v>8</v>
      </c>
      <c r="E71" s="2" t="inlineStr">
        <is>
          <t>Empleado informal</t>
        </is>
      </c>
      <c r="F71" s="2" t="inlineStr">
        <is>
          <t>Comercio</t>
        </is>
      </c>
      <c r="G71" s="7" t="n">
        <v>9200</v>
      </c>
    </row>
    <row r="72">
      <c r="A72" s="2" t="n">
        <v>69</v>
      </c>
      <c r="B72" s="2" t="n">
        <v>42</v>
      </c>
      <c r="C72" s="2" t="inlineStr">
        <is>
          <t>Bachillerato</t>
        </is>
      </c>
      <c r="D72" s="2" t="n">
        <v>17</v>
      </c>
      <c r="E72" s="2" t="inlineStr">
        <is>
          <t>Empleado informal</t>
        </is>
      </c>
      <c r="F72" s="2" t="inlineStr">
        <is>
          <t>Comercio</t>
        </is>
      </c>
      <c r="G72" s="7" t="n">
        <v>13200</v>
      </c>
    </row>
    <row r="73">
      <c r="A73" s="2" t="n">
        <v>70</v>
      </c>
      <c r="B73" s="2" t="n">
        <v>24</v>
      </c>
      <c r="C73" s="2" t="inlineStr">
        <is>
          <t>Licenciatura</t>
        </is>
      </c>
      <c r="D73" s="2" t="n">
        <v>4</v>
      </c>
      <c r="E73" s="2" t="inlineStr">
        <is>
          <t>Empleado formal</t>
        </is>
      </c>
      <c r="F73" s="2" t="inlineStr">
        <is>
          <t>Gobierno</t>
        </is>
      </c>
      <c r="G73" s="7" t="n">
        <v>7300</v>
      </c>
    </row>
    <row r="74">
      <c r="A74" s="2" t="n">
        <v>71</v>
      </c>
      <c r="B74" s="2" t="n">
        <v>37</v>
      </c>
      <c r="C74" s="2" t="inlineStr">
        <is>
          <t>Posgrado</t>
        </is>
      </c>
      <c r="D74" s="2" t="n">
        <v>19</v>
      </c>
      <c r="E74" s="2" t="inlineStr">
        <is>
          <t>Empleado informal</t>
        </is>
      </c>
      <c r="F74" s="2" t="inlineStr">
        <is>
          <t>Negocio familiar</t>
        </is>
      </c>
      <c r="G74" s="7" t="n">
        <v>23800</v>
      </c>
    </row>
    <row r="75">
      <c r="A75" s="2" t="n">
        <v>72</v>
      </c>
      <c r="B75" s="2" t="n">
        <v>31</v>
      </c>
      <c r="C75" s="2" t="inlineStr">
        <is>
          <t>Licenciatura</t>
        </is>
      </c>
      <c r="D75" s="2" t="n">
        <v>3</v>
      </c>
      <c r="E75" s="2" t="inlineStr">
        <is>
          <t>Empleado formal</t>
        </is>
      </c>
      <c r="F75" s="2" t="inlineStr">
        <is>
          <t>Organización</t>
        </is>
      </c>
      <c r="G75" s="7" t="n">
        <v>10900</v>
      </c>
    </row>
    <row r="76">
      <c r="A76" s="2" t="n">
        <v>73</v>
      </c>
      <c r="B76" s="2" t="n">
        <v>26</v>
      </c>
      <c r="C76" s="2" t="inlineStr">
        <is>
          <t>Licenciatura</t>
        </is>
      </c>
      <c r="D76" s="2" t="n">
        <v>3</v>
      </c>
      <c r="E76" s="2" t="inlineStr">
        <is>
          <t>Empleado formal</t>
        </is>
      </c>
      <c r="F76" s="2" t="inlineStr">
        <is>
          <t>Empresa privada</t>
        </is>
      </c>
      <c r="G76" s="7" t="n">
        <v>9600</v>
      </c>
    </row>
    <row r="77">
      <c r="A77" s="2" t="n">
        <v>74</v>
      </c>
      <c r="B77" s="2" t="n">
        <v>20</v>
      </c>
      <c r="C77" s="2" t="inlineStr">
        <is>
          <t>Técnico</t>
        </is>
      </c>
      <c r="D77" s="2" t="n">
        <v>2</v>
      </c>
      <c r="E77" s="2" t="inlineStr">
        <is>
          <t>Desempleado</t>
        </is>
      </c>
      <c r="F77" s="2" t="inlineStr">
        <is>
          <t>Sin empleo</t>
        </is>
      </c>
      <c r="G77" s="7" t="n">
        <v>0</v>
      </c>
    </row>
    <row r="78">
      <c r="A78" s="2" t="n">
        <v>75</v>
      </c>
      <c r="B78" s="2" t="n">
        <v>34</v>
      </c>
      <c r="C78" s="2" t="inlineStr">
        <is>
          <t>Posgrado</t>
        </is>
      </c>
      <c r="D78" s="2" t="n">
        <v>9</v>
      </c>
      <c r="E78" s="2" t="inlineStr">
        <is>
          <t>Desempleado</t>
        </is>
      </c>
      <c r="F78" s="2" t="inlineStr">
        <is>
          <t>Sin empleo</t>
        </is>
      </c>
      <c r="G78" s="7" t="n">
        <v>0</v>
      </c>
    </row>
    <row r="79">
      <c r="A79" s="2" t="n">
        <v>76</v>
      </c>
      <c r="B79" s="2" t="n">
        <v>23</v>
      </c>
      <c r="C79" s="2" t="inlineStr">
        <is>
          <t>Bachillerato</t>
        </is>
      </c>
      <c r="D79" s="2" t="n">
        <v>3</v>
      </c>
      <c r="E79" s="2" t="inlineStr">
        <is>
          <t>Desempleado</t>
        </is>
      </c>
      <c r="F79" s="2" t="inlineStr">
        <is>
          <t>Sin empleo</t>
        </is>
      </c>
      <c r="G79" s="7" t="n">
        <v>0</v>
      </c>
    </row>
    <row r="80">
      <c r="A80" s="2" t="n">
        <v>77</v>
      </c>
      <c r="B80" s="2" t="n">
        <v>36</v>
      </c>
      <c r="C80" s="2" t="inlineStr">
        <is>
          <t>Técnico</t>
        </is>
      </c>
      <c r="D80" s="2" t="n">
        <v>12</v>
      </c>
      <c r="E80" s="2" t="inlineStr">
        <is>
          <t>Empleado formal</t>
        </is>
      </c>
      <c r="F80" s="2" t="inlineStr">
        <is>
          <t>Empresa privada</t>
        </is>
      </c>
      <c r="G80" s="7" t="n">
        <v>14900</v>
      </c>
    </row>
    <row r="81">
      <c r="A81" s="2" t="n">
        <v>78</v>
      </c>
      <c r="B81" s="2" t="n">
        <v>37</v>
      </c>
      <c r="C81" s="2" t="inlineStr">
        <is>
          <t>Bachillerato</t>
        </is>
      </c>
      <c r="D81" s="2" t="n">
        <v>19</v>
      </c>
      <c r="E81" s="2" t="inlineStr">
        <is>
          <t>Empleado informal</t>
        </is>
      </c>
      <c r="F81" s="2" t="inlineStr">
        <is>
          <t>Servicios</t>
        </is>
      </c>
      <c r="G81" s="7" t="n">
        <v>16100</v>
      </c>
    </row>
    <row r="82">
      <c r="A82" s="2" t="n">
        <v>79</v>
      </c>
      <c r="B82" s="2" t="n">
        <v>33</v>
      </c>
      <c r="C82" s="2" t="inlineStr">
        <is>
          <t>Licenciatura</t>
        </is>
      </c>
      <c r="D82" s="2" t="n">
        <v>10</v>
      </c>
      <c r="E82" s="2" t="inlineStr">
        <is>
          <t>Desempleado</t>
        </is>
      </c>
      <c r="F82" s="2" t="inlineStr">
        <is>
          <t>Sin empleo</t>
        </is>
      </c>
      <c r="G82" s="7" t="n">
        <v>0</v>
      </c>
    </row>
    <row r="83">
      <c r="A83" s="2" t="n">
        <v>80</v>
      </c>
      <c r="B83" s="2" t="n">
        <v>41</v>
      </c>
      <c r="C83" s="2" t="inlineStr">
        <is>
          <t>Técnico</t>
        </is>
      </c>
      <c r="D83" s="2" t="n">
        <v>21</v>
      </c>
      <c r="E83" s="2" t="inlineStr">
        <is>
          <t>Empleado informal</t>
        </is>
      </c>
      <c r="F83" s="2" t="inlineStr">
        <is>
          <t>Negocio familiar</t>
        </is>
      </c>
      <c r="G83" s="7" t="n">
        <v>19600</v>
      </c>
    </row>
    <row r="84">
      <c r="A84" s="2" t="n">
        <v>81</v>
      </c>
      <c r="B84" s="2" t="n">
        <v>28</v>
      </c>
      <c r="C84" s="2" t="inlineStr">
        <is>
          <t>Posgrado</t>
        </is>
      </c>
      <c r="D84" s="2" t="n">
        <v>7</v>
      </c>
      <c r="E84" s="2" t="inlineStr">
        <is>
          <t>Empleado formal</t>
        </is>
      </c>
      <c r="F84" s="2" t="inlineStr">
        <is>
          <t>Organización</t>
        </is>
      </c>
      <c r="G84" s="7" t="n">
        <v>16400</v>
      </c>
    </row>
    <row r="85">
      <c r="A85" s="2" t="n">
        <v>82</v>
      </c>
      <c r="B85" s="2" t="n">
        <v>18</v>
      </c>
      <c r="C85" s="2" t="inlineStr">
        <is>
          <t>Bachillerato</t>
        </is>
      </c>
      <c r="D85" s="2" t="n">
        <v>0</v>
      </c>
      <c r="E85" s="2" t="inlineStr">
        <is>
          <t>Desempleado</t>
        </is>
      </c>
      <c r="F85" s="2" t="inlineStr">
        <is>
          <t>Sin empleo</t>
        </is>
      </c>
      <c r="G85" s="7" t="n">
        <v>0</v>
      </c>
    </row>
    <row r="86">
      <c r="A86" s="2" t="n">
        <v>83</v>
      </c>
      <c r="B86" s="2" t="n">
        <v>21</v>
      </c>
      <c r="C86" s="2" t="inlineStr">
        <is>
          <t>Licenciatura</t>
        </is>
      </c>
      <c r="D86" s="2" t="n">
        <v>0</v>
      </c>
      <c r="E86" s="2" t="inlineStr">
        <is>
          <t>Desempleado</t>
        </is>
      </c>
      <c r="F86" s="2" t="inlineStr">
        <is>
          <t>Sin empleo</t>
        </is>
      </c>
      <c r="G86" s="7" t="n">
        <v>0</v>
      </c>
    </row>
    <row r="87">
      <c r="A87" s="2" t="n">
        <v>84</v>
      </c>
      <c r="B87" s="2" t="n">
        <v>45</v>
      </c>
      <c r="C87" s="2" t="inlineStr">
        <is>
          <t>Bachillerato</t>
        </is>
      </c>
      <c r="D87" s="2" t="n">
        <v>26</v>
      </c>
      <c r="E87" s="2" t="inlineStr">
        <is>
          <t>Desempleado</t>
        </is>
      </c>
      <c r="F87" s="2" t="inlineStr">
        <is>
          <t>Sin empleo</t>
        </is>
      </c>
      <c r="G87" s="7" t="n">
        <v>0</v>
      </c>
    </row>
    <row r="88">
      <c r="A88" s="2" t="n">
        <v>85</v>
      </c>
      <c r="B88" s="2" t="n">
        <v>39</v>
      </c>
      <c r="C88" s="2" t="inlineStr">
        <is>
          <t>Bachillerato</t>
        </is>
      </c>
      <c r="D88" s="2" t="n">
        <v>21</v>
      </c>
      <c r="E88" s="2" t="inlineStr">
        <is>
          <t>Empleado informal</t>
        </is>
      </c>
      <c r="F88" s="2" t="inlineStr">
        <is>
          <t>Comercio</t>
        </is>
      </c>
      <c r="G88" s="7" t="n">
        <v>19100</v>
      </c>
    </row>
    <row r="89">
      <c r="A89" s="2" t="n">
        <v>86</v>
      </c>
      <c r="B89" s="2" t="n">
        <v>32</v>
      </c>
      <c r="C89" s="2" t="inlineStr">
        <is>
          <t>Licenciatura</t>
        </is>
      </c>
      <c r="D89" s="2" t="n">
        <v>11</v>
      </c>
      <c r="E89" s="2" t="inlineStr">
        <is>
          <t>Empleado formal</t>
        </is>
      </c>
      <c r="F89" s="2" t="inlineStr">
        <is>
          <t>Gobierno</t>
        </is>
      </c>
      <c r="G89" s="7" t="n">
        <v>18100</v>
      </c>
    </row>
    <row r="90">
      <c r="A90" s="2" t="n">
        <v>87</v>
      </c>
      <c r="B90" s="2" t="n">
        <v>20</v>
      </c>
      <c r="C90" s="2" t="inlineStr">
        <is>
          <t>Bachillerato</t>
        </is>
      </c>
      <c r="D90" s="2" t="n">
        <v>2</v>
      </c>
      <c r="E90" s="2" t="inlineStr">
        <is>
          <t>Empleado informal</t>
        </is>
      </c>
      <c r="F90" s="2" t="inlineStr">
        <is>
          <t>Comercio</t>
        </is>
      </c>
      <c r="G90" s="7" t="n">
        <v>7500</v>
      </c>
    </row>
    <row r="91">
      <c r="A91" s="2" t="n">
        <v>88</v>
      </c>
      <c r="B91" s="2" t="n">
        <v>31</v>
      </c>
      <c r="C91" s="2" t="inlineStr">
        <is>
          <t>Licenciatura</t>
        </is>
      </c>
      <c r="D91" s="2" t="n">
        <v>11</v>
      </c>
      <c r="E91" s="2" t="inlineStr">
        <is>
          <t>Empleado formal</t>
        </is>
      </c>
      <c r="F91" s="2" t="inlineStr">
        <is>
          <t>Empresa privada</t>
        </is>
      </c>
      <c r="G91" s="7" t="n">
        <v>16500</v>
      </c>
    </row>
    <row r="92">
      <c r="A92" s="2" t="n">
        <v>89</v>
      </c>
      <c r="B92" s="2" t="n">
        <v>34</v>
      </c>
      <c r="C92" s="2" t="inlineStr">
        <is>
          <t>Bachillerato</t>
        </is>
      </c>
      <c r="D92" s="2" t="n">
        <v>0</v>
      </c>
      <c r="E92" s="2" t="inlineStr">
        <is>
          <t>Desempleado</t>
        </is>
      </c>
      <c r="F92" s="2" t="inlineStr">
        <is>
          <t>Sin empleo</t>
        </is>
      </c>
      <c r="G92" s="7" t="n">
        <v>0</v>
      </c>
    </row>
    <row r="93">
      <c r="A93" s="2" t="n">
        <v>90</v>
      </c>
      <c r="B93" s="2" t="n">
        <v>37</v>
      </c>
      <c r="C93" s="2" t="inlineStr">
        <is>
          <t>Licenciatura</t>
        </is>
      </c>
      <c r="D93" s="2" t="n">
        <v>18</v>
      </c>
      <c r="E93" s="2" t="inlineStr">
        <is>
          <t>Independiente</t>
        </is>
      </c>
      <c r="F93" s="2" t="inlineStr">
        <is>
          <t>Comercio</t>
        </is>
      </c>
      <c r="G93" s="7" t="n">
        <v>17000</v>
      </c>
    </row>
    <row r="94">
      <c r="A94" s="2" t="n">
        <v>91</v>
      </c>
      <c r="B94" s="2" t="n">
        <v>43</v>
      </c>
      <c r="C94" s="2" t="inlineStr">
        <is>
          <t>Licenciatura</t>
        </is>
      </c>
      <c r="D94" s="2" t="n">
        <v>22</v>
      </c>
      <c r="E94" s="2" t="inlineStr">
        <is>
          <t>Empleado formal</t>
        </is>
      </c>
      <c r="F94" s="2" t="inlineStr">
        <is>
          <t>Organización</t>
        </is>
      </c>
      <c r="G94" s="7" t="n">
        <v>23200</v>
      </c>
    </row>
    <row r="95">
      <c r="A95" s="2" t="n">
        <v>92</v>
      </c>
      <c r="B95" s="2" t="n">
        <v>45</v>
      </c>
      <c r="C95" s="2" t="inlineStr">
        <is>
          <t>Posgrado</t>
        </is>
      </c>
      <c r="D95" s="2" t="n">
        <v>18</v>
      </c>
      <c r="E95" s="2" t="inlineStr">
        <is>
          <t>Empleado informal</t>
        </is>
      </c>
      <c r="F95" s="2" t="inlineStr">
        <is>
          <t>Negocio familiar</t>
        </is>
      </c>
      <c r="G95" s="7" t="n">
        <v>22700</v>
      </c>
    </row>
    <row r="96">
      <c r="A96" s="2" t="n">
        <v>93</v>
      </c>
      <c r="B96" s="2" t="n">
        <v>41</v>
      </c>
      <c r="C96" s="2" t="inlineStr">
        <is>
          <t>Licenciatura</t>
        </is>
      </c>
      <c r="D96" s="2" t="n">
        <v>19</v>
      </c>
      <c r="E96" s="2" t="inlineStr">
        <is>
          <t>Desempleado</t>
        </is>
      </c>
      <c r="F96" s="2" t="inlineStr">
        <is>
          <t>Sin empleo</t>
        </is>
      </c>
      <c r="G96" s="7" t="n">
        <v>0</v>
      </c>
    </row>
    <row r="97">
      <c r="A97" s="2" t="n">
        <v>94</v>
      </c>
      <c r="B97" s="2" t="n">
        <v>30</v>
      </c>
      <c r="C97" s="2" t="inlineStr">
        <is>
          <t>Técnico</t>
        </is>
      </c>
      <c r="D97" s="2" t="n">
        <v>6</v>
      </c>
      <c r="E97" s="2" t="inlineStr">
        <is>
          <t>Empleado formal</t>
        </is>
      </c>
      <c r="F97" s="2" t="inlineStr">
        <is>
          <t>Empresa privada</t>
        </is>
      </c>
      <c r="G97" s="7" t="n">
        <v>9500</v>
      </c>
    </row>
    <row r="98">
      <c r="A98" s="2" t="n">
        <v>95</v>
      </c>
      <c r="B98" s="2" t="n">
        <v>44</v>
      </c>
      <c r="C98" s="2" t="inlineStr">
        <is>
          <t>Bachillerato</t>
        </is>
      </c>
      <c r="D98" s="2" t="n">
        <v>23</v>
      </c>
      <c r="E98" s="2" t="inlineStr">
        <is>
          <t>Empleado informal</t>
        </is>
      </c>
      <c r="F98" s="2" t="inlineStr">
        <is>
          <t>Comercio</t>
        </is>
      </c>
      <c r="G98" s="7" t="n">
        <v>17700</v>
      </c>
    </row>
    <row r="99">
      <c r="A99" s="2" t="n">
        <v>96</v>
      </c>
      <c r="B99" s="2" t="n">
        <v>18</v>
      </c>
      <c r="C99" s="2" t="inlineStr">
        <is>
          <t>Bachillerato</t>
        </is>
      </c>
      <c r="D99" s="2" t="n">
        <v>0</v>
      </c>
      <c r="E99" s="2" t="inlineStr">
        <is>
          <t>Desempleado</t>
        </is>
      </c>
      <c r="F99" s="2" t="inlineStr">
        <is>
          <t>Sin empleo</t>
        </is>
      </c>
      <c r="G99" s="7" t="n">
        <v>0</v>
      </c>
    </row>
    <row r="100">
      <c r="A100" s="2" t="n">
        <v>97</v>
      </c>
      <c r="B100" s="2" t="n">
        <v>19</v>
      </c>
      <c r="C100" s="2" t="inlineStr">
        <is>
          <t>Licenciatura</t>
        </is>
      </c>
      <c r="D100" s="2" t="n">
        <v>0</v>
      </c>
      <c r="E100" s="2" t="inlineStr">
        <is>
          <t>Empleado formal</t>
        </is>
      </c>
      <c r="F100" s="2" t="inlineStr">
        <is>
          <t>Organización</t>
        </is>
      </c>
      <c r="G100" s="7" t="n">
        <v>9500</v>
      </c>
    </row>
    <row r="101">
      <c r="A101" s="2" t="n">
        <v>98</v>
      </c>
      <c r="B101" s="2" t="n">
        <v>38</v>
      </c>
      <c r="C101" s="2" t="inlineStr">
        <is>
          <t>Licenciatura</t>
        </is>
      </c>
      <c r="D101" s="2" t="n">
        <v>14</v>
      </c>
      <c r="E101" s="2" t="inlineStr">
        <is>
          <t>Independiente</t>
        </is>
      </c>
      <c r="F101" s="2" t="inlineStr">
        <is>
          <t>Profesional</t>
        </is>
      </c>
      <c r="G101" s="7" t="n">
        <v>17500</v>
      </c>
    </row>
    <row r="102">
      <c r="A102" s="2" t="n">
        <v>99</v>
      </c>
      <c r="B102" s="2" t="n">
        <v>37</v>
      </c>
      <c r="C102" s="2" t="inlineStr">
        <is>
          <t>Técnico</t>
        </is>
      </c>
      <c r="D102" s="2" t="n">
        <v>0</v>
      </c>
      <c r="E102" s="2" t="inlineStr">
        <is>
          <t>Desempleado</t>
        </is>
      </c>
      <c r="F102" s="2" t="inlineStr">
        <is>
          <t>Sin empleo</t>
        </is>
      </c>
      <c r="G102" s="7" t="n">
        <v>0</v>
      </c>
    </row>
    <row r="103">
      <c r="A103" s="2" t="n">
        <v>100</v>
      </c>
      <c r="B103" s="2" t="n">
        <v>20</v>
      </c>
      <c r="C103" s="2" t="inlineStr">
        <is>
          <t>Bachillerato</t>
        </is>
      </c>
      <c r="D103" s="2" t="n">
        <v>0</v>
      </c>
      <c r="E103" s="2" t="inlineStr">
        <is>
          <t>Empleado informal</t>
        </is>
      </c>
      <c r="F103" s="2" t="inlineStr">
        <is>
          <t>Negocio familiar</t>
        </is>
      </c>
      <c r="G103" s="7" t="n">
        <v>4300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45" customWidth="1" min="4" max="4"/>
  </cols>
  <sheetData>
    <row r="1">
      <c r="A1" s="5" t="inlineStr">
        <is>
          <t>Resumen estadístico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8" t="inlineStr">
        <is>
          <t>Media de edad (años)</t>
        </is>
      </c>
      <c r="B3" s="9">
        <f>AVERAGE(Base_Datos!B4:B103)</f>
        <v/>
      </c>
      <c r="C3" s="2" t="n"/>
      <c r="D3" s="8" t="inlineStr">
        <is>
          <t>Notas del modelo</t>
        </is>
      </c>
    </row>
    <row r="4">
      <c r="A4" s="8" t="inlineStr">
        <is>
          <t>Mediana de edad (años)</t>
        </is>
      </c>
      <c r="B4" s="9">
        <f>MEDIAN(Base_Datos!B4:B103)</f>
        <v/>
      </c>
      <c r="C4" s="2" t="n"/>
      <c r="D4" s="2" t="inlineStr">
        <is>
          <t>El salario $0 corresponde a personas desempleadas.</t>
        </is>
      </c>
    </row>
    <row r="5">
      <c r="A5" s="8" t="inlineStr">
        <is>
          <t>Moda de edad (años)</t>
        </is>
      </c>
      <c r="B5" s="9">
        <f>MODE.SNGL(Base_Datos!B4:B103)</f>
        <v/>
      </c>
      <c r="C5" s="2" t="n"/>
      <c r="D5" s="2" t="inlineStr">
        <is>
          <t>Las medidas salariales se calculan solo con personas ocupadas.</t>
        </is>
      </c>
    </row>
    <row r="6">
      <c r="A6" s="8" t="inlineStr">
        <is>
          <t>Edad mínima</t>
        </is>
      </c>
      <c r="B6" s="9">
        <f>MIN(Base_Datos!B4:B103)</f>
        <v/>
      </c>
      <c r="C6" s="2" t="n"/>
      <c r="D6" s="2" t="inlineStr">
        <is>
          <t>Los datos son simulados para enseñanza.</t>
        </is>
      </c>
    </row>
    <row r="7">
      <c r="A7" s="8" t="inlineStr">
        <is>
          <t>Edad máxima</t>
        </is>
      </c>
      <c r="B7" s="9">
        <f>MAX(Base_Datos!B4:B103)</f>
        <v/>
      </c>
      <c r="C7" s="2" t="n"/>
      <c r="D7" s="2" t="inlineStr">
        <is>
          <t>Hay algunos salarios altos para observar el efecto de valores extremos.</t>
        </is>
      </c>
    </row>
    <row r="8">
      <c r="A8" s="8" t="inlineStr">
        <is>
          <t>Rango de edad</t>
        </is>
      </c>
      <c r="B8" s="9">
        <f>MAX(Base_Datos!B4:B103)-MIN(Base_Datos!B4:B103)</f>
        <v/>
      </c>
      <c r="C8" s="2" t="n"/>
      <c r="D8" s="2" t="n"/>
    </row>
    <row r="9">
      <c r="A9" s="8" t="inlineStr">
        <is>
          <t>Media salarial de ocupados (MXN)</t>
        </is>
      </c>
      <c r="B9" s="9">
        <f>AVERAGEIF(Base_Datos!G4:G103,"&gt;0",Base_Datos!G4:G103)</f>
        <v/>
      </c>
      <c r="C9" s="2" t="n"/>
      <c r="D9" s="2" t="n"/>
    </row>
    <row r="10">
      <c r="A10" s="8" t="inlineStr">
        <is>
          <t>Mediana salarial de ocupados (MXN)</t>
        </is>
      </c>
      <c r="B10" s="9">
        <f>MEDIAN(FILTER(Base_Datos!G4:G103,Base_Datos!G4:G103&gt;0))</f>
        <v/>
      </c>
      <c r="C10" s="2" t="n"/>
      <c r="D10" s="2" t="n"/>
    </row>
    <row r="11">
      <c r="A11" s="8" t="inlineStr">
        <is>
          <t>Moda salarial de ocupados (MXN)</t>
        </is>
      </c>
      <c r="B11" s="9">
        <f>MODE.SNGL(FILTER(Base_Datos!G4:G103,Base_Datos!G4:G103&gt;0))</f>
        <v/>
      </c>
      <c r="C11" s="2" t="n"/>
      <c r="D11" s="2" t="n"/>
    </row>
    <row r="12">
      <c r="A12" s="8" t="inlineStr">
        <is>
          <t>Salario mínimo de ocupados (MXN)</t>
        </is>
      </c>
      <c r="B12" s="9">
        <f>MINIFS(Base_Datos!G4:G103,Base_Datos!G4:G103,"&gt;0")</f>
        <v/>
      </c>
      <c r="C12" s="2" t="n"/>
      <c r="D12" s="2" t="n"/>
    </row>
    <row r="13">
      <c r="A13" s="8" t="inlineStr">
        <is>
          <t>Salario máximo de ocupados (MXN)</t>
        </is>
      </c>
      <c r="B13" s="9">
        <f>MAX(Base_Datos!G4:G103)</f>
        <v/>
      </c>
      <c r="C13" s="2" t="n"/>
      <c r="D13" s="2" t="n"/>
    </row>
    <row r="14">
      <c r="A14" s="8" t="inlineStr">
        <is>
          <t>Rango salarial de ocupados (MXN)</t>
        </is>
      </c>
      <c r="B14" s="9">
        <f>MAX(Base_Datos!G4:G103)-MINIFS(Base_Datos!G4:G103,Base_Datos!G4:G103,"&gt;0")</f>
        <v/>
      </c>
      <c r="C14" s="2" t="n"/>
      <c r="D14" s="2" t="n"/>
    </row>
    <row r="15">
      <c r="A15" s="8" t="inlineStr">
        <is>
          <t>Varianza salarial muestral</t>
        </is>
      </c>
      <c r="B15" s="9">
        <f>VAR.S(FILTER(Base_Datos!G4:G103,Base_Datos!G4:G103&gt;0))</f>
        <v/>
      </c>
      <c r="C15" s="2" t="n"/>
      <c r="D15" s="2" t="n"/>
    </row>
    <row r="16">
      <c r="A16" s="8" t="inlineStr">
        <is>
          <t>Desviación estándar salarial</t>
        </is>
      </c>
      <c r="B16" s="9">
        <f>STDEV.S(FILTER(Base_Datos!G4:G103,Base_Datos!G4:G103&gt;0))</f>
        <v/>
      </c>
      <c r="C16" s="2" t="n"/>
      <c r="D16" s="2" t="n"/>
    </row>
    <row r="17">
      <c r="A17" s="8" t="inlineStr">
        <is>
          <t>Coeficiente de variación salarial</t>
        </is>
      </c>
      <c r="B17" s="10">
        <f>STDEV.S(FILTER(Base_Datos!G4:G103,Base_Datos!G4:G103&gt;0))/AVERAGEIF(Base_Datos!G4:G103,"&gt;0",Base_Datos!G4:G103)</f>
        <v/>
      </c>
      <c r="C17" s="2" t="n"/>
      <c r="D17" s="2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2" customWidth="1" min="4" max="4"/>
    <col width="18" customWidth="1" min="5" max="5"/>
  </cols>
  <sheetData>
    <row r="1">
      <c r="A1" s="5" t="inlineStr">
        <is>
          <t>Tablas de frecuencia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Situación laboral</t>
        </is>
      </c>
      <c r="B3" s="11" t="n"/>
      <c r="C3" s="11" t="n"/>
      <c r="D3" s="11" t="n"/>
      <c r="E3" s="11" t="n"/>
    </row>
    <row r="4">
      <c r="A4" s="8" t="inlineStr">
        <is>
          <t>Categoría</t>
        </is>
      </c>
      <c r="B4" s="8" t="inlineStr">
        <is>
          <t>Frecuencia absoluta</t>
        </is>
      </c>
      <c r="C4" s="8" t="inlineStr">
        <is>
          <t>Frecuencia relativa</t>
        </is>
      </c>
      <c r="D4" s="8" t="inlineStr">
        <is>
          <t>Frecuencia acumulada</t>
        </is>
      </c>
      <c r="E4" s="8" t="inlineStr">
        <is>
          <t>% acumulado</t>
        </is>
      </c>
    </row>
    <row r="5">
      <c r="A5" s="2" t="inlineStr">
        <is>
          <t>Empleado formal</t>
        </is>
      </c>
      <c r="B5" s="2">
        <f>COUNTIF(Base_Datos!$E$4:$E$103,A5)</f>
        <v/>
      </c>
      <c r="C5" s="12">
        <f>B5/COUNTA(Base_Datos!$A$4:$A$103)</f>
        <v/>
      </c>
      <c r="D5" s="2">
        <f>SUM($B$5:B5)</f>
        <v/>
      </c>
      <c r="E5" s="12">
        <f>SUM($C$5:C5)</f>
        <v/>
      </c>
    </row>
    <row r="6">
      <c r="A6" s="2" t="inlineStr">
        <is>
          <t>Empleado informal</t>
        </is>
      </c>
      <c r="B6" s="2">
        <f>COUNTIF(Base_Datos!$E$4:$E$103,A6)</f>
        <v/>
      </c>
      <c r="C6" s="12">
        <f>B6/COUNTA(Base_Datos!$A$4:$A$103)</f>
        <v/>
      </c>
      <c r="D6" s="2">
        <f>SUM($B$5:B6)</f>
        <v/>
      </c>
      <c r="E6" s="12">
        <f>SUM($C$5:C6)</f>
        <v/>
      </c>
    </row>
    <row r="7">
      <c r="A7" s="2" t="inlineStr">
        <is>
          <t>Independiente</t>
        </is>
      </c>
      <c r="B7" s="2">
        <f>COUNTIF(Base_Datos!$E$4:$E$103,A7)</f>
        <v/>
      </c>
      <c r="C7" s="12">
        <f>B7/COUNTA(Base_Datos!$A$4:$A$103)</f>
        <v/>
      </c>
      <c r="D7" s="2">
        <f>SUM($B$5:B7)</f>
        <v/>
      </c>
      <c r="E7" s="12">
        <f>SUM($C$5:C7)</f>
        <v/>
      </c>
    </row>
    <row r="8">
      <c r="A8" s="2" t="inlineStr">
        <is>
          <t>Desempleado</t>
        </is>
      </c>
      <c r="B8" s="2">
        <f>COUNTIF(Base_Datos!$E$4:$E$103,A8)</f>
        <v/>
      </c>
      <c r="C8" s="12">
        <f>B8/COUNTA(Base_Datos!$A$4:$A$103)</f>
        <v/>
      </c>
      <c r="D8" s="2">
        <f>SUM($B$5:B8)</f>
        <v/>
      </c>
      <c r="E8" s="12">
        <f>SUM($C$5:C8)</f>
        <v/>
      </c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8" t="inlineStr">
        <is>
          <t>Frecuencia de salarios de personas ocupadas</t>
        </is>
      </c>
      <c r="B11" s="2" t="n"/>
      <c r="C11" s="2" t="n"/>
      <c r="D11" s="2" t="n"/>
      <c r="E11" s="2" t="n"/>
    </row>
    <row r="12">
      <c r="A12" s="8" t="inlineStr">
        <is>
          <t>Intervalo salarial</t>
        </is>
      </c>
      <c r="B12" s="8" t="inlineStr">
        <is>
          <t>Frecuencia absoluta</t>
        </is>
      </c>
      <c r="C12" s="8" t="inlineStr">
        <is>
          <t>Frecuencia relativa</t>
        </is>
      </c>
      <c r="D12" s="8" t="inlineStr">
        <is>
          <t>Frecuencia acumulada</t>
        </is>
      </c>
      <c r="E12" s="8" t="inlineStr">
        <is>
          <t>% acumulado</t>
        </is>
      </c>
    </row>
    <row r="13">
      <c r="A13" s="2" t="inlineStr">
        <is>
          <t>$1–$5,000</t>
        </is>
      </c>
      <c r="B13" s="2">
        <f>COUNTIFS(Base_Datos!$G$4:$G$103,"&gt;="&amp;1,Base_Datos!$G$4:$G$103,"&lt;="&amp;5000)</f>
        <v/>
      </c>
      <c r="C13" s="12">
        <f>B13/COUNTIF(Base_Datos!$G$4:$G$103,"&gt;0")</f>
        <v/>
      </c>
      <c r="D13" s="2">
        <f>SUM($B$13:B13)</f>
        <v/>
      </c>
      <c r="E13" s="12">
        <f>SUM($C$13:C13)</f>
        <v/>
      </c>
    </row>
    <row r="14">
      <c r="A14" s="2" t="inlineStr">
        <is>
          <t>$5,001–$10,000</t>
        </is>
      </c>
      <c r="B14" s="2">
        <f>COUNTIFS(Base_Datos!$G$4:$G$103,"&gt;="&amp;5001,Base_Datos!$G$4:$G$103,"&lt;="&amp;10000)</f>
        <v/>
      </c>
      <c r="C14" s="12">
        <f>B14/COUNTIF(Base_Datos!$G$4:$G$103,"&gt;0")</f>
        <v/>
      </c>
      <c r="D14" s="2">
        <f>SUM($B$13:B14)</f>
        <v/>
      </c>
      <c r="E14" s="12">
        <f>SUM($C$13:C14)</f>
        <v/>
      </c>
    </row>
    <row r="15">
      <c r="A15" s="2" t="inlineStr">
        <is>
          <t>$10,001–$15,000</t>
        </is>
      </c>
      <c r="B15" s="2">
        <f>COUNTIFS(Base_Datos!$G$4:$G$103,"&gt;="&amp;10001,Base_Datos!$G$4:$G$103,"&lt;="&amp;15000)</f>
        <v/>
      </c>
      <c r="C15" s="12">
        <f>B15/COUNTIF(Base_Datos!$G$4:$G$103,"&gt;0")</f>
        <v/>
      </c>
      <c r="D15" s="2">
        <f>SUM($B$13:B15)</f>
        <v/>
      </c>
      <c r="E15" s="12">
        <f>SUM($C$13:C15)</f>
        <v/>
      </c>
    </row>
    <row r="16">
      <c r="A16" s="2" t="inlineStr">
        <is>
          <t>$15,001–$20,000</t>
        </is>
      </c>
      <c r="B16" s="2">
        <f>COUNTIFS(Base_Datos!$G$4:$G$103,"&gt;="&amp;15001,Base_Datos!$G$4:$G$103,"&lt;="&amp;20000)</f>
        <v/>
      </c>
      <c r="C16" s="12">
        <f>B16/COUNTIF(Base_Datos!$G$4:$G$103,"&gt;0")</f>
        <v/>
      </c>
      <c r="D16" s="2">
        <f>SUM($B$13:B16)</f>
        <v/>
      </c>
      <c r="E16" s="12">
        <f>SUM($C$13:C16)</f>
        <v/>
      </c>
    </row>
    <row r="17">
      <c r="A17" s="2" t="inlineStr">
        <is>
          <t>$20,001–$30,000</t>
        </is>
      </c>
      <c r="B17" s="2">
        <f>COUNTIFS(Base_Datos!$G$4:$G$103,"&gt;="&amp;20001,Base_Datos!$G$4:$G$103,"&lt;="&amp;30000)</f>
        <v/>
      </c>
      <c r="C17" s="12">
        <f>B17/COUNTIF(Base_Datos!$G$4:$G$103,"&gt;0")</f>
        <v/>
      </c>
      <c r="D17" s="2">
        <f>SUM($B$13:B17)</f>
        <v/>
      </c>
      <c r="E17" s="12">
        <f>SUM($C$13:C17)</f>
        <v/>
      </c>
    </row>
    <row r="18">
      <c r="A18" s="2" t="inlineStr">
        <is>
          <t>$30,001–$60,000</t>
        </is>
      </c>
      <c r="B18" s="2">
        <f>COUNTIFS(Base_Datos!$G$4:$G$103,"&gt;="&amp;30001,Base_Datos!$G$4:$G$103,"&lt;="&amp;60000)</f>
        <v/>
      </c>
      <c r="C18" s="12">
        <f>B18/COUNTIF(Base_Datos!$G$4:$G$103,"&gt;0")</f>
        <v/>
      </c>
      <c r="D18" s="2">
        <f>SUM($B$13:B18)</f>
        <v/>
      </c>
      <c r="E18" s="12">
        <f>SUM($C$13:C18)</f>
        <v/>
      </c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8" t="inlineStr">
        <is>
          <t>Frecuencia de experiencia</t>
        </is>
      </c>
      <c r="B21" s="2" t="n"/>
      <c r="C21" s="2" t="n"/>
      <c r="D21" s="2" t="n"/>
      <c r="E21" s="2" t="n"/>
    </row>
    <row r="22">
      <c r="A22" s="8" t="inlineStr">
        <is>
          <t>Experiencia</t>
        </is>
      </c>
      <c r="B22" s="8" t="inlineStr">
        <is>
          <t>Frecuencia absoluta</t>
        </is>
      </c>
      <c r="C22" s="8" t="inlineStr">
        <is>
          <t>Frecuencia relativa</t>
        </is>
      </c>
      <c r="D22" s="8" t="inlineStr">
        <is>
          <t>Frecuencia acumulada</t>
        </is>
      </c>
      <c r="E22" s="8" t="inlineStr">
        <is>
          <t>% acumulado</t>
        </is>
      </c>
    </row>
    <row r="23">
      <c r="A23" s="2" t="n">
        <v>0</v>
      </c>
      <c r="B23" s="2">
        <f>COUNTIF(Base_Datos!$D$4:$D$103,A23)</f>
        <v/>
      </c>
      <c r="C23" s="12">
        <f>B23/COUNTA(Base_Datos!$A$4:$A$103)</f>
        <v/>
      </c>
      <c r="D23" s="2">
        <f>SUM($B$23:B23)</f>
        <v/>
      </c>
      <c r="E23" s="12">
        <f>SUM($C$23:C23)</f>
        <v/>
      </c>
    </row>
    <row r="24">
      <c r="A24" s="2" t="n">
        <v>1</v>
      </c>
      <c r="B24" s="2">
        <f>COUNTIF(Base_Datos!$D$4:$D$103,A24)</f>
        <v/>
      </c>
      <c r="C24" s="12">
        <f>B24/COUNTA(Base_Datos!$A$4:$A$103)</f>
        <v/>
      </c>
      <c r="D24" s="2">
        <f>SUM($B$23:B24)</f>
        <v/>
      </c>
      <c r="E24" s="12">
        <f>SUM($C$23:C24)</f>
        <v/>
      </c>
    </row>
    <row r="25">
      <c r="A25" s="2" t="n">
        <v>2</v>
      </c>
      <c r="B25" s="2">
        <f>COUNTIF(Base_Datos!$D$4:$D$103,A25)</f>
        <v/>
      </c>
      <c r="C25" s="12">
        <f>B25/COUNTA(Base_Datos!$A$4:$A$103)</f>
        <v/>
      </c>
      <c r="D25" s="2">
        <f>SUM($B$23:B25)</f>
        <v/>
      </c>
      <c r="E25" s="12">
        <f>SUM($C$23:C25)</f>
        <v/>
      </c>
    </row>
    <row r="26">
      <c r="A26" s="2" t="n">
        <v>3</v>
      </c>
      <c r="B26" s="2">
        <f>COUNTIF(Base_Datos!$D$4:$D$103,A26)</f>
        <v/>
      </c>
      <c r="C26" s="12">
        <f>B26/COUNTA(Base_Datos!$A$4:$A$103)</f>
        <v/>
      </c>
      <c r="D26" s="2">
        <f>SUM($B$23:B26)</f>
        <v/>
      </c>
      <c r="E26" s="12">
        <f>SUM($C$23:C26)</f>
        <v/>
      </c>
    </row>
    <row r="27">
      <c r="A27" s="2" t="n">
        <v>4</v>
      </c>
      <c r="B27" s="2">
        <f>COUNTIF(Base_Datos!$D$4:$D$103,A27)</f>
        <v/>
      </c>
      <c r="C27" s="12">
        <f>B27/COUNTA(Base_Datos!$A$4:$A$103)</f>
        <v/>
      </c>
      <c r="D27" s="2">
        <f>SUM($B$23:B27)</f>
        <v/>
      </c>
      <c r="E27" s="12">
        <f>SUM($C$23:C27)</f>
        <v/>
      </c>
    </row>
    <row r="28">
      <c r="A28" s="2" t="n">
        <v>5</v>
      </c>
      <c r="B28" s="2">
        <f>COUNTIF(Base_Datos!$D$4:$D$103,A28)</f>
        <v/>
      </c>
      <c r="C28" s="12">
        <f>B28/COUNTA(Base_Datos!$A$4:$A$103)</f>
        <v/>
      </c>
      <c r="D28" s="2">
        <f>SUM($B$23:B28)</f>
        <v/>
      </c>
      <c r="E28" s="12">
        <f>SUM($C$23:C28)</f>
        <v/>
      </c>
    </row>
    <row r="29">
      <c r="A29" s="2" t="n">
        <v>6</v>
      </c>
      <c r="B29" s="2">
        <f>COUNTIF(Base_Datos!$D$4:$D$103,A29)</f>
        <v/>
      </c>
      <c r="C29" s="12">
        <f>B29/COUNTA(Base_Datos!$A$4:$A$103)</f>
        <v/>
      </c>
      <c r="D29" s="2">
        <f>SUM($B$23:B29)</f>
        <v/>
      </c>
      <c r="E29" s="12">
        <f>SUM($C$23:C29)</f>
        <v/>
      </c>
    </row>
    <row r="30">
      <c r="A30" s="2" t="n">
        <v>7</v>
      </c>
      <c r="B30" s="2">
        <f>COUNTIF(Base_Datos!$D$4:$D$103,A30)</f>
        <v/>
      </c>
      <c r="C30" s="12">
        <f>B30/COUNTA(Base_Datos!$A$4:$A$103)</f>
        <v/>
      </c>
      <c r="D30" s="2">
        <f>SUM($B$23:B30)</f>
        <v/>
      </c>
      <c r="E30" s="12">
        <f>SUM($C$23:C30)</f>
        <v/>
      </c>
    </row>
    <row r="31">
      <c r="A31" s="2" t="n">
        <v>8</v>
      </c>
      <c r="B31" s="2">
        <f>COUNTIF(Base_Datos!$D$4:$D$103,A31)</f>
        <v/>
      </c>
      <c r="C31" s="12">
        <f>B31/COUNTA(Base_Datos!$A$4:$A$103)</f>
        <v/>
      </c>
      <c r="D31" s="2">
        <f>SUM($B$23:B31)</f>
        <v/>
      </c>
      <c r="E31" s="12">
        <f>SUM($C$23:C31)</f>
        <v/>
      </c>
    </row>
    <row r="32">
      <c r="A32" s="2" t="n">
        <v>9</v>
      </c>
      <c r="B32" s="2">
        <f>COUNTIF(Base_Datos!$D$4:$D$103,A32)</f>
        <v/>
      </c>
      <c r="C32" s="12">
        <f>B32/COUNTA(Base_Datos!$A$4:$A$103)</f>
        <v/>
      </c>
      <c r="D32" s="2">
        <f>SUM($B$23:B32)</f>
        <v/>
      </c>
      <c r="E32" s="12">
        <f>SUM($C$23:C32)</f>
        <v/>
      </c>
    </row>
    <row r="33">
      <c r="A33" s="2" t="n">
        <v>10</v>
      </c>
      <c r="B33" s="2">
        <f>COUNTIF(Base_Datos!$D$4:$D$103,A33)</f>
        <v/>
      </c>
      <c r="C33" s="12">
        <f>B33/COUNTA(Base_Datos!$A$4:$A$103)</f>
        <v/>
      </c>
      <c r="D33" s="2">
        <f>SUM($B$23:B33)</f>
        <v/>
      </c>
      <c r="E33" s="12">
        <f>SUM($C$23:C33)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Distribución de salarios por intervalos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6" t="inlineStr">
        <is>
          <t>Intervalo</t>
        </is>
      </c>
      <c r="B3" s="6" t="inlineStr">
        <is>
          <t>Límite inferior</t>
        </is>
      </c>
      <c r="C3" s="6" t="inlineStr">
        <is>
          <t>Límite superior</t>
        </is>
      </c>
      <c r="D3" s="6" t="inlineStr">
        <is>
          <t>Frecuencia</t>
        </is>
      </c>
    </row>
    <row r="4">
      <c r="A4" s="2" t="inlineStr">
        <is>
          <t>$1–$5,000</t>
        </is>
      </c>
      <c r="B4" s="2" t="n">
        <v>1</v>
      </c>
      <c r="C4" s="2" t="n">
        <v>5000</v>
      </c>
      <c r="D4" s="2">
        <f>COUNTIFS(Base_Datos!$G$4:$G$103,"&gt;="&amp;B4,Base_Datos!$G$4:$G$103,"&lt;="&amp;C4)</f>
        <v/>
      </c>
    </row>
    <row r="5">
      <c r="A5" s="2" t="inlineStr">
        <is>
          <t>$5,001–$10,000</t>
        </is>
      </c>
      <c r="B5" s="2" t="n">
        <v>5001</v>
      </c>
      <c r="C5" s="2" t="n">
        <v>10000</v>
      </c>
      <c r="D5" s="2">
        <f>COUNTIFS(Base_Datos!$G$4:$G$103,"&gt;="&amp;B5,Base_Datos!$G$4:$G$103,"&lt;="&amp;C5)</f>
        <v/>
      </c>
    </row>
    <row r="6">
      <c r="A6" s="2" t="inlineStr">
        <is>
          <t>$10,001–$15,000</t>
        </is>
      </c>
      <c r="B6" s="2" t="n">
        <v>10001</v>
      </c>
      <c r="C6" s="2" t="n">
        <v>15000</v>
      </c>
      <c r="D6" s="2">
        <f>COUNTIFS(Base_Datos!$G$4:$G$103,"&gt;="&amp;B6,Base_Datos!$G$4:$G$103,"&lt;="&amp;C6)</f>
        <v/>
      </c>
    </row>
    <row r="7">
      <c r="A7" s="2" t="inlineStr">
        <is>
          <t>$15,001–$20,000</t>
        </is>
      </c>
      <c r="B7" s="2" t="n">
        <v>15001</v>
      </c>
      <c r="C7" s="2" t="n">
        <v>20000</v>
      </c>
      <c r="D7" s="2">
        <f>COUNTIFS(Base_Datos!$G$4:$G$103,"&gt;="&amp;B7,Base_Datos!$G$4:$G$103,"&lt;="&amp;C7)</f>
        <v/>
      </c>
    </row>
    <row r="8">
      <c r="A8" s="2" t="inlineStr">
        <is>
          <t>$20,001–$30,000</t>
        </is>
      </c>
      <c r="B8" s="2" t="n">
        <v>20001</v>
      </c>
      <c r="C8" s="2" t="n">
        <v>30000</v>
      </c>
      <c r="D8" s="2">
        <f>COUNTIFS(Base_Datos!$G$4:$G$103,"&gt;="&amp;B8,Base_Datos!$G$4:$G$103,"&lt;="&amp;C8)</f>
        <v/>
      </c>
    </row>
    <row r="9">
      <c r="A9" s="2" t="inlineStr">
        <is>
          <t>$30,001–$60,000</t>
        </is>
      </c>
      <c r="B9" s="2" t="n">
        <v>30001</v>
      </c>
      <c r="C9" s="2" t="n">
        <v>60000</v>
      </c>
      <c r="D9" s="2">
        <f>COUNTIFS(Base_Datos!$G$4:$G$103,"&gt;="&amp;B9,Base_Datos!$G$4:$G$103,"&lt;="&amp;C9)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55" customWidth="1" min="3" max="3"/>
  </cols>
  <sheetData>
    <row r="1">
      <c r="A1" s="5" t="inlineStr">
        <is>
          <t>Conceptos estadísticos utilizados</t>
        </is>
      </c>
      <c r="B1" s="2" t="n"/>
      <c r="C1" s="2" t="n"/>
    </row>
    <row r="2">
      <c r="A2" s="2" t="n"/>
      <c r="B2" s="2" t="n"/>
      <c r="C2" s="2" t="n"/>
    </row>
    <row r="3">
      <c r="A3" s="6" t="inlineStr">
        <is>
          <t>Concepto</t>
        </is>
      </c>
      <c r="B3" s="6" t="inlineStr">
        <is>
          <t>Qué significa</t>
        </is>
      </c>
      <c r="C3" s="6" t="inlineStr">
        <is>
          <t>Aplicación en este ejercicio</t>
        </is>
      </c>
    </row>
    <row r="4">
      <c r="A4" s="2" t="inlineStr">
        <is>
          <t>Media</t>
        </is>
      </c>
      <c r="B4" s="2" t="inlineStr">
        <is>
          <t>Promedio de los datos.</t>
        </is>
      </c>
      <c r="C4" s="2" t="inlineStr">
        <is>
          <t>Salario promedio de las personas ocupadas.</t>
        </is>
      </c>
    </row>
    <row r="5">
      <c r="A5" s="2" t="inlineStr">
        <is>
          <t>Mediana</t>
        </is>
      </c>
      <c r="B5" s="2" t="inlineStr">
        <is>
          <t>Valor central cuando los datos están ordenados.</t>
        </is>
      </c>
      <c r="C5" s="2" t="inlineStr">
        <is>
          <t>Permite comparar el salario típico con la media.</t>
        </is>
      </c>
    </row>
    <row r="6">
      <c r="A6" s="2" t="inlineStr">
        <is>
          <t>Moda</t>
        </is>
      </c>
      <c r="B6" s="2" t="inlineStr">
        <is>
          <t>Valor o categoría que aparece con mayor frecuencia.</t>
        </is>
      </c>
      <c r="C6" s="2" t="inlineStr">
        <is>
          <t>Salario más frecuente o situación laboral más frecuente.</t>
        </is>
      </c>
    </row>
    <row r="7">
      <c r="A7" s="2" t="inlineStr">
        <is>
          <t>Rango</t>
        </is>
      </c>
      <c r="B7" s="2" t="inlineStr">
        <is>
          <t>Máximo menos mínimo.</t>
        </is>
      </c>
      <c r="C7" s="2" t="inlineStr">
        <is>
          <t>Muestra la amplitud de los salarios.</t>
        </is>
      </c>
    </row>
    <row r="8">
      <c r="A8" s="2" t="inlineStr">
        <is>
          <t>Varianza</t>
        </is>
      </c>
      <c r="B8" s="2" t="inlineStr">
        <is>
          <t>Mide la dispersión mediante desviaciones al cuadrado.</t>
        </is>
      </c>
      <c r="C8" s="2" t="inlineStr">
        <is>
          <t>Permite cuantificar qué tan dispersos están los salarios.</t>
        </is>
      </c>
    </row>
    <row r="9">
      <c r="A9" s="2" t="inlineStr">
        <is>
          <t>Desviación estándar</t>
        </is>
      </c>
      <c r="B9" s="2" t="inlineStr">
        <is>
          <t>Mide la dispersión en las mismas unidades.</t>
        </is>
      </c>
      <c r="C9" s="2" t="inlineStr">
        <is>
          <t>Se interpreta en pesos para los salarios.</t>
        </is>
      </c>
    </row>
    <row r="10">
      <c r="A10" s="2" t="inlineStr">
        <is>
          <t>Coeficiente de variación</t>
        </is>
      </c>
      <c r="B10" s="2" t="inlineStr">
        <is>
          <t>Desviación estándar dividida entre la media.</t>
        </is>
      </c>
      <c r="C10" s="2" t="inlineStr">
        <is>
          <t>Mide la dispersión relativa de los salarios.</t>
        </is>
      </c>
    </row>
    <row r="11">
      <c r="A11" s="2" t="inlineStr">
        <is>
          <t>Frecuencia absoluta</t>
        </is>
      </c>
      <c r="B11" s="2" t="inlineStr">
        <is>
          <t>Número de observaciones.</t>
        </is>
      </c>
      <c r="C11" s="2" t="inlineStr">
        <is>
          <t>Cuántas personas pertenecen a cada categoría o intervalo.</t>
        </is>
      </c>
    </row>
    <row r="12">
      <c r="A12" s="2" t="inlineStr">
        <is>
          <t>Frecuencia relativa</t>
        </is>
      </c>
      <c r="B12" s="2" t="inlineStr">
        <is>
          <t>Proporción o porcentaje del total.</t>
        </is>
      </c>
      <c r="C12" s="2" t="inlineStr">
        <is>
          <t>Qué porcentaje representa cada categoría.</t>
        </is>
      </c>
    </row>
    <row r="13">
      <c r="A13" s="2" t="inlineStr">
        <is>
          <t>Frecuencia acumulada</t>
        </is>
      </c>
      <c r="B13" s="2" t="inlineStr">
        <is>
          <t>Suma progresiva de las frecuencias.</t>
        </is>
      </c>
      <c r="C13" s="2" t="inlineStr">
        <is>
          <t>Cuántas personas llevamos hasta cierto valor o intervalo.</t>
        </is>
      </c>
    </row>
    <row r="14">
      <c r="A14" s="2" t="inlineStr">
        <is>
          <t>Histograma</t>
        </is>
      </c>
      <c r="B14" s="2" t="inlineStr">
        <is>
          <t>Representa la distribución de una variable cuantitativa.</t>
        </is>
      </c>
      <c r="C14" s="2" t="inlineStr">
        <is>
          <t>Distribución de salarios.</t>
        </is>
      </c>
    </row>
    <row r="15">
      <c r="A15" s="2" t="inlineStr">
        <is>
          <t>Barras</t>
        </is>
      </c>
      <c r="B15" s="2" t="inlineStr">
        <is>
          <t>Compara categorías.</t>
        </is>
      </c>
      <c r="C15" s="2" t="inlineStr">
        <is>
          <t>Situación laboral.</t>
        </is>
      </c>
    </row>
    <row r="16">
      <c r="A16" s="2" t="inlineStr">
        <is>
          <t>Circular</t>
        </is>
      </c>
      <c r="B16" s="2" t="inlineStr">
        <is>
          <t>Muestra proporciones simples.</t>
        </is>
      </c>
      <c r="C16" s="2" t="inlineStr">
        <is>
          <t>Distribución de escolaridad o situación laboral.</t>
        </is>
      </c>
    </row>
    <row r="17">
      <c r="A17" s="2" t="inlineStr">
        <is>
          <t>Dispersión</t>
        </is>
      </c>
      <c r="B17" s="2" t="inlineStr">
        <is>
          <t>Muestra la relación visual entre dos variables cuantitativas.</t>
        </is>
      </c>
      <c r="C17" s="2" t="inlineStr">
        <is>
          <t>Experiencia laboral vs. salario.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5" t="inlineStr">
        <is>
          <t>Gráficas — Empleabilidad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inlineStr">
        <is>
          <t>Experiencia</t>
        </is>
      </c>
      <c r="K37" s="2" t="inlineStr">
        <is>
          <t>Salario promedio</t>
        </is>
      </c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>
        <v>0</v>
      </c>
      <c r="K38" s="2">
        <f>IFERROR(AVERAGEIFS(Base_Datos!$G$4:$G$103,Base_Datos!$D$4:$D$103,J38,Base_Datos!$G$4:$G$103,"&gt;0"),0)</f>
        <v/>
      </c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>
        <v>1</v>
      </c>
      <c r="K39" s="2">
        <f>IFERROR(AVERAGEIFS(Base_Datos!$G$4:$G$103,Base_Datos!$D$4:$D$103,J39,Base_Datos!$G$4:$G$103,"&gt;0"),0)</f>
        <v/>
      </c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>
        <v>2</v>
      </c>
      <c r="K40" s="2">
        <f>IFERROR(AVERAGEIFS(Base_Datos!$G$4:$G$103,Base_Datos!$D$4:$D$103,J40,Base_Datos!$G$4:$G$103,"&gt;0"),0)</f>
        <v/>
      </c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>
        <v>3</v>
      </c>
      <c r="K41" s="2">
        <f>IFERROR(AVERAGEIFS(Base_Datos!$G$4:$G$103,Base_Datos!$D$4:$D$103,J41,Base_Datos!$G$4:$G$103,"&gt;0"),0)</f>
        <v/>
      </c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>
        <v>4</v>
      </c>
      <c r="K42" s="2">
        <f>IFERROR(AVERAGEIFS(Base_Datos!$G$4:$G$103,Base_Datos!$D$4:$D$103,J42,Base_Datos!$G$4:$G$103,"&gt;0"),0)</f>
        <v/>
      </c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>
        <v>5</v>
      </c>
      <c r="K43" s="2">
        <f>IFERROR(AVERAGEIFS(Base_Datos!$G$4:$G$103,Base_Datos!$D$4:$D$103,J43,Base_Datos!$G$4:$G$103,"&gt;0"),0)</f>
        <v/>
      </c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>
        <v>6</v>
      </c>
      <c r="K44" s="2">
        <f>IFERROR(AVERAGEIFS(Base_Datos!$G$4:$G$103,Base_Datos!$D$4:$D$103,J44,Base_Datos!$G$4:$G$103,"&gt;0"),0)</f>
        <v/>
      </c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>
        <v>7</v>
      </c>
      <c r="K45" s="2">
        <f>IFERROR(AVERAGEIFS(Base_Datos!$G$4:$G$103,Base_Datos!$D$4:$D$103,J45,Base_Datos!$G$4:$G$103,"&gt;0"),0)</f>
        <v/>
      </c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>
        <v>8</v>
      </c>
      <c r="K46" s="2">
        <f>IFERROR(AVERAGEIFS(Base_Datos!$G$4:$G$103,Base_Datos!$D$4:$D$103,J46,Base_Datos!$G$4:$G$103,"&gt;0"),0)</f>
        <v/>
      </c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>
        <v>9</v>
      </c>
      <c r="K47" s="2">
        <f>IFERROR(AVERAGEIFS(Base_Datos!$G$4:$G$103,Base_Datos!$D$4:$D$103,J47,Base_Datos!$G$4:$G$103,"&gt;0"),0)</f>
        <v/>
      </c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>
        <v>10</v>
      </c>
      <c r="K48" s="2">
        <f>IFERROR(AVERAGEIFS(Base_Datos!$G$4:$G$103,Base_Datos!$D$4:$D$103,J48,Base_Datos!$G$4:$G$103,"&gt;0"),0)</f>
        <v/>
      </c>
      <c r="L48" s="2" t="n"/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5" t="inlineStr">
        <is>
          <t>Guía rápida para trabajar en Excel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1. Empieza en Base_Datos y observa las 100 personas.</t>
        </is>
      </c>
      <c r="B3" s="2" t="n"/>
      <c r="C3" s="2" t="n"/>
      <c r="D3" s="2" t="n"/>
      <c r="E3" s="2" t="n"/>
      <c r="F3" s="2" t="n"/>
    </row>
    <row r="4">
      <c r="A4" s="2" t="inlineStr">
        <is>
          <t>2. Cambia algunos datos si quieres experimentar y observa qué sucede.</t>
        </is>
      </c>
      <c r="B4" s="2" t="n"/>
      <c r="C4" s="2" t="n"/>
      <c r="D4" s="2" t="n"/>
      <c r="E4" s="2" t="n"/>
      <c r="F4" s="2" t="n"/>
    </row>
    <row r="5">
      <c r="A5" s="2" t="inlineStr">
        <is>
          <t>3. En Resumen_Estadistico compara media, mediana, moda, rango, varianza y desviación estándar.</t>
        </is>
      </c>
      <c r="B5" s="2" t="n"/>
      <c r="C5" s="2" t="n"/>
      <c r="D5" s="2" t="n"/>
      <c r="E5" s="2" t="n"/>
      <c r="F5" s="2" t="n"/>
    </row>
    <row r="6">
      <c r="A6" s="2" t="inlineStr">
        <is>
          <t>4. En Frecuencias observa frecuencia absoluta, relativa y acumulada.</t>
        </is>
      </c>
      <c r="B6" s="2" t="n"/>
      <c r="C6" s="2" t="n"/>
      <c r="D6" s="2" t="n"/>
      <c r="E6" s="2" t="n"/>
      <c r="F6" s="2" t="n"/>
    </row>
    <row r="7">
      <c r="A7" s="2" t="inlineStr">
        <is>
          <t>5. En Intervalos observa cómo agrupar muchos salarios facilita la interpretación.</t>
        </is>
      </c>
      <c r="B7" s="2" t="n"/>
      <c r="C7" s="2" t="n"/>
      <c r="D7" s="2" t="n"/>
      <c r="E7" s="2" t="n"/>
      <c r="F7" s="2" t="n"/>
    </row>
    <row r="8">
      <c r="A8" s="2" t="inlineStr">
        <is>
          <t>6. En Graficas compara barras, circular, distribución, frecuencia acumulada y dispersión.</t>
        </is>
      </c>
      <c r="B8" s="2" t="n"/>
      <c r="C8" s="2" t="n"/>
      <c r="D8" s="2" t="n"/>
      <c r="E8" s="2" t="n"/>
      <c r="F8" s="2" t="n"/>
    </row>
    <row r="9">
      <c r="A9" s="2" t="inlineStr">
        <is>
          <t>7. Para interpretar: no basta decir el número; explica qué significa para las personas de la muestra.</t>
        </is>
      </c>
      <c r="B9" s="2" t="n"/>
      <c r="C9" s="2" t="n"/>
      <c r="D9" s="2" t="n"/>
      <c r="E9" s="2" t="n"/>
      <c r="F9" s="2" t="n"/>
    </row>
    <row r="10">
      <c r="A10" s="2" t="inlineStr">
        <is>
          <t>8. Las medidas salariales excluyen a las personas desempleadas porque su salario registrado es $0.</t>
        </is>
      </c>
      <c r="B10" s="2" t="n"/>
      <c r="C10" s="2" t="n"/>
      <c r="D10" s="2" t="n"/>
      <c r="E10" s="2" t="n"/>
      <c r="F10" s="2" t="n"/>
    </row>
  </sheetData>
  <mergeCells count="9"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65" customWidth="1" min="3" max="3"/>
    <col width="25" customWidth="1" min="4" max="4"/>
  </cols>
  <sheetData>
    <row r="1">
      <c r="A1" s="5" t="inlineStr">
        <is>
          <t>Preguntas de investigación y respuestas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6" t="inlineStr">
        <is>
          <t>Pregunta</t>
        </is>
      </c>
      <c r="B3" s="6" t="inlineStr">
        <is>
          <t>Respuesta / cálculo</t>
        </is>
      </c>
      <c r="C3" s="6" t="inlineStr">
        <is>
          <t>Interpretación</t>
        </is>
      </c>
      <c r="D3" s="6" t="inlineStr">
        <is>
          <t>Concepto</t>
        </is>
      </c>
    </row>
    <row r="4">
      <c r="A4" s="2" t="inlineStr">
        <is>
          <t>1. ¿Cuál es la edad promedio de las personas de la muestra?</t>
        </is>
      </c>
      <c r="B4" s="2" t="inlineStr">
        <is>
          <t>Media de edad = 30.24 años.</t>
        </is>
      </c>
      <c r="C4" s="2" t="inlineStr">
        <is>
          <t>En promedio, las personas de la muestra tienen aproximadamente esa edad.</t>
        </is>
      </c>
      <c r="D4" s="2" t="inlineStr">
        <is>
          <t>Media</t>
        </is>
      </c>
    </row>
    <row r="5">
      <c r="A5" s="2" t="inlineStr">
        <is>
          <t>2. ¿Cuál es el salario mensual promedio de las personas ocupadas?</t>
        </is>
      </c>
      <c r="B5" s="2" t="inlineStr">
        <is>
          <t>Salario promedio de ocupados = $14,344.26 MXN.</t>
        </is>
      </c>
      <c r="C5" s="2" t="inlineStr">
        <is>
          <t>Representa el ingreso mensual promedio de las personas que tienen un salario mayor que cero.</t>
        </is>
      </c>
      <c r="D5" s="2" t="inlineStr">
        <is>
          <t>Media</t>
        </is>
      </c>
    </row>
    <row r="6">
      <c r="A6" s="2" t="inlineStr">
        <is>
          <t>3. ¿Cuál es la mediana del salario y qué nos dice?</t>
        </is>
      </c>
      <c r="B6" s="2" t="inlineStr">
        <is>
          <t>Mediana salarial = $13,900.00 MXN.</t>
        </is>
      </c>
      <c r="C6" s="2" t="inlineStr">
        <is>
          <t>La mitad de los ocupados gana hasta ese valor y la otra mitad gana al menos ese valor.</t>
        </is>
      </c>
      <c r="D6" s="2" t="inlineStr">
        <is>
          <t>Mediana</t>
        </is>
      </c>
    </row>
    <row r="7">
      <c r="A7" s="2" t="inlineStr">
        <is>
          <t>4. ¿Cuál es el salario más frecuente (moda)?</t>
        </is>
      </c>
      <c r="B7" s="2" t="inlineStr">
        <is>
          <t>Moda salarial = $18,100 MXN.</t>
        </is>
      </c>
      <c r="C7" s="2" t="inlineStr">
        <is>
          <t>Es el salario que aparece con mayor frecuencia en la muestra de ocupados.</t>
        </is>
      </c>
      <c r="D7" s="2" t="inlineStr">
        <is>
          <t>Moda</t>
        </is>
      </c>
    </row>
    <row r="8">
      <c r="A8" s="2" t="inlineStr">
        <is>
          <t>5. ¿Cuál es el salario mínimo y máximo entre las personas ocupadas?</t>
        </is>
      </c>
      <c r="B8" s="2" t="inlineStr">
        <is>
          <t>Mínimo = $3,700; máximo = $50,000.</t>
        </is>
      </c>
      <c r="C8" s="2" t="inlineStr">
        <is>
          <t>Muestra los extremos salariales observados entre las personas ocupadas.</t>
        </is>
      </c>
      <c r="D8" s="2" t="inlineStr">
        <is>
          <t>Mínimo / máximo</t>
        </is>
      </c>
    </row>
    <row r="9">
      <c r="A9" s="2" t="inlineStr">
        <is>
          <t>6. ¿Cuál es el rango de salarios?</t>
        </is>
      </c>
      <c r="B9" s="2" t="inlineStr">
        <is>
          <t>Rango = $46,300.</t>
        </is>
      </c>
      <c r="C9" s="2" t="inlineStr">
        <is>
          <t>Es la distancia entre el salario más bajo y el más alto de la muestra.</t>
        </is>
      </c>
      <c r="D9" s="2" t="inlineStr">
        <is>
          <t>Rango</t>
        </is>
      </c>
    </row>
    <row r="10">
      <c r="A10" s="2" t="inlineStr">
        <is>
          <t>7. ¿Qué tan dispersos son los salarios? Interpreta la desviación estándar.</t>
        </is>
      </c>
      <c r="B10" s="2" t="inlineStr">
        <is>
          <t>Desviación estándar = $7,381.61.</t>
        </is>
      </c>
      <c r="C10" s="2" t="inlineStr">
        <is>
          <t>Indica cuánto tienden a alejarse los salarios de su promedio; una cifra grande implica mayor dispersión.</t>
        </is>
      </c>
      <c r="D10" s="2" t="inlineStr">
        <is>
          <t>Desviación estándar</t>
        </is>
      </c>
    </row>
    <row r="11">
      <c r="A11" s="2" t="inlineStr">
        <is>
          <t>8. ¿Qué porcentaje de la muestra está empleada, desempleada o trabaja por cuenta propia?</t>
        </is>
      </c>
      <c r="B11" s="2" t="inlineStr">
        <is>
          <t>Formal: 25%; Informal: 30%; Independiente: 6%; Desempleado: 39% (de 100 personas).</t>
        </is>
      </c>
      <c r="C11" s="2" t="inlineStr">
        <is>
          <t>Permite describir cómo se distribuye la situación laboral de la muestra.</t>
        </is>
      </c>
      <c r="D11" s="2" t="inlineStr">
        <is>
          <t>Frecuencia</t>
        </is>
      </c>
    </row>
    <row r="12">
      <c r="A12" s="2" t="inlineStr">
        <is>
          <t>9. ¿Qué porcentaje de la muestra tiene empleo formal?</t>
        </is>
      </c>
      <c r="B12" s="2" t="inlineStr">
        <is>
          <t>25.0% de la muestra tiene empleo formal.</t>
        </is>
      </c>
      <c r="C12" s="2" t="inlineStr">
        <is>
          <t>Representa la proporción de personas clasificadas como empleadas formales.</t>
        </is>
      </c>
      <c r="D12" s="2" t="inlineStr">
        <is>
          <t>Frecuencia relativa</t>
        </is>
      </c>
    </row>
    <row r="13">
      <c r="A13" s="2" t="inlineStr">
        <is>
          <t>10. ¿Cuántas personas tienen hasta 2 años de experiencia?</t>
        </is>
      </c>
      <c r="B13" s="2" t="inlineStr">
        <is>
          <t>41 personas tienen hasta 2 años de experiencia.</t>
        </is>
      </c>
      <c r="C13" s="2" t="inlineStr">
        <is>
          <t>Es la cantidad de observaciones acumuladas hasta 2 años de experiencia.</t>
        </is>
      </c>
      <c r="D13" s="2" t="inlineStr">
        <is>
          <t>Frecuencia acumulada</t>
        </is>
      </c>
    </row>
    <row r="14">
      <c r="A14" s="2" t="inlineStr">
        <is>
          <t>11. ¿Qué porcentaje de personas gana hasta $15,000 mensuales?</t>
        </is>
      </c>
      <c r="B14" s="2" t="inlineStr">
        <is>
          <t>33.0% de la muestra gana hasta $15,000 mensuales.</t>
        </is>
      </c>
      <c r="C14" s="2" t="inlineStr">
        <is>
          <t>Permite identificar qué proporción se encuentra dentro de ese límite salarial.</t>
        </is>
      </c>
      <c r="D14" s="2" t="inlineStr">
        <is>
          <t>Frecuencia relativa</t>
        </is>
      </c>
    </row>
    <row r="15">
      <c r="A15" s="2" t="inlineStr">
        <is>
          <t>12. ¿La media y la mediana del salario son parecidas? ¿Qué nos dicen los valores extremos?</t>
        </is>
      </c>
      <c r="B15" s="2" t="inlineStr">
        <is>
          <t>Media = $14,344; mediana = $13,900.</t>
        </is>
      </c>
      <c r="C15" s="2" t="inlineStr">
        <is>
          <t>La diferencia entre ambas ayuda a observar el efecto de salarios altos/extremos sobre el promedio.</t>
        </is>
      </c>
      <c r="D15" s="2" t="inlineStr">
        <is>
          <t>Media vs. mediana</t>
        </is>
      </c>
    </row>
    <row r="16">
      <c r="A16" s="2" t="inlineStr">
        <is>
          <t>13. ¿Qué gráfica usarías para comparar la situación laboral?</t>
        </is>
      </c>
      <c r="B16" s="2" t="inlineStr">
        <is>
          <t>Gráfica de barras.</t>
        </is>
      </c>
      <c r="C16" s="2" t="inlineStr">
        <is>
          <t>Es adecuada para comparar categorías como las situaciones laborales.</t>
        </is>
      </c>
      <c r="D16" s="2" t="inlineStr">
        <is>
          <t>Barras</t>
        </is>
      </c>
    </row>
    <row r="17">
      <c r="A17" s="2" t="inlineStr">
        <is>
          <t>14. ¿Qué gráfica permite observar la distribución de salarios?</t>
        </is>
      </c>
      <c r="B17" s="2" t="inlineStr">
        <is>
          <t>Histograma o gráfica de columnas por intervalos.</t>
        </is>
      </c>
      <c r="C17" s="2" t="inlineStr">
        <is>
          <t>Permite observar cómo se distribuyen los salarios.</t>
        </is>
      </c>
      <c r="D17" s="2" t="inlineStr">
        <is>
          <t>Histograma</t>
        </is>
      </c>
    </row>
    <row r="18">
      <c r="A18" s="2" t="inlineStr">
        <is>
          <t>15. ¿Se observa alguna tendencia entre experiencia laboral y salario?</t>
        </is>
      </c>
      <c r="B18" s="2" t="inlineStr">
        <is>
          <t>La gráfica de dispersión permite observar visualmente si mayores años de experiencia tienden a acompañarse de mayores salarios.</t>
        </is>
      </c>
      <c r="C18" s="2" t="inlineStr">
        <is>
          <t>Es una observación visual; no implica por sí sola causalidad ni una correlación calculada.</t>
        </is>
      </c>
      <c r="D18" s="2" t="inlineStr">
        <is>
          <t>Dispersión</t>
        </is>
      </c>
    </row>
    <row r="21">
      <c r="A21" s="13" t="inlineStr">
        <is>
          <t>Nota docente</t>
        </is>
      </c>
    </row>
    <row r="22">
      <c r="A22" s="14" t="inlineStr">
        <is>
          <t>Las respuestas numéricas corresponden a esta versión de la base simulada. Si los alumnos cambian los datos, deben recalcular e interpretar nuevamente.</t>
        </is>
      </c>
    </row>
    <row r="23"/>
    <row r="24"/>
  </sheetData>
  <mergeCells count="2">
    <mergeCell ref="A1:D1"/>
    <mergeCell ref="A22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2026-08-21T16:47:04Z</dcterms:created>
  <dcterms:modified xmlns:dcterms="http://purl.org/dc/terms/" xmlns:xsi="http://www.w3.org/2001/XMLSchema-instance" xsi:type="dcterms:W3CDTF">2026-08-21T16:47:04Z</dcterms:modified>
</cp:coreProperties>
</file>