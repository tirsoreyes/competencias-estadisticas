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f72f72ecd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8251a3adcedb44a6"/>
    <x:sheet xmlns:r="http://schemas.openxmlformats.org/officeDocument/2006/relationships" name="Punto15_Correlacion" sheetId="2" r:id="Rc3f09b6cd79640dd"/>
    <x:sheet xmlns:r="http://schemas.openxmlformats.org/officeDocument/2006/relationships" name="Punto17_Hipotesis" sheetId="3" r:id="R7aa485d9d9594f42"/>
    <x:sheet xmlns:r="http://schemas.openxmlformats.org/officeDocument/2006/relationships" name="Analisis" sheetId="4" r:id="Rf2b44c222c9944fa"/>
    <x:sheet xmlns:r="http://schemas.openxmlformats.org/officeDocument/2006/relationships" name="Formulas" sheetId="5" r:id="Ra98307884cdd4e71"/>
    <x:sheet xmlns:r="http://schemas.openxmlformats.org/officeDocument/2006/relationships" name="Graficas" sheetId="6" r:id="R8ff4fe43b8cb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.0000"/>
    <x:numFmt numFmtId="202" formatCode="0%"/>
    <x:numFmt numFmtId="203" formatCode="$#,##0.00"/>
  </x:numFmts>
  <x:fonts count="6">
    <x:font>
      <x:sz val="11"/>
      <x:name val="Carlito"/>
    </x:font>
    <x:font>
      <x:b/>
      <x:sz val="16"/>
      <x:color rgb="FF1F2937"/>
      <x:name val="Carlito"/>
    </x:font>
    <x:font>
      <x:b/>
      <x:sz val="13"/>
      <x:name val="Carlito"/>
    </x:font>
    <x:font>
      <x:b/>
      <x:sz val="11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4E2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wrapText="1"/>
    </x:xf>
    <x:xf numFmtId="201" fontId="5" fillId="5" borderId="0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dbbd70344470e" /><Relationship Type="http://schemas.openxmlformats.org/officeDocument/2006/relationships/theme" Target="/xl/theme/theme1.xml" Id="Ree63623618904eb2" /><Relationship Type="http://schemas.openxmlformats.org/officeDocument/2006/relationships/sharedStrings" Target="/xl/sharedStrings.xml" Id="Ra63daf6f965347de" /><Relationship Type="http://schemas.openxmlformats.org/officeDocument/2006/relationships/worksheet" Target="/xl/worksheets/sheet1.xml" Id="R8251a3adcedb44a6" /><Relationship Type="http://schemas.openxmlformats.org/officeDocument/2006/relationships/worksheet" Target="/xl/worksheets/sheet2.xml" Id="Rc3f09b6cd79640dd" /><Relationship Type="http://schemas.openxmlformats.org/officeDocument/2006/relationships/worksheet" Target="/xl/worksheets/sheet3.xml" Id="R7aa485d9d9594f42" /><Relationship Type="http://schemas.openxmlformats.org/officeDocument/2006/relationships/worksheet" Target="/xl/worksheets/sheet4.xml" Id="Rf2b44c222c9944fa" /><Relationship Type="http://schemas.openxmlformats.org/officeDocument/2006/relationships/worksheet" Target="/xl/worksheets/sheet5.xml" Id="Ra98307884cdd4e71" /><Relationship Type="http://schemas.openxmlformats.org/officeDocument/2006/relationships/worksheet" Target="/xl/worksheets/sheet6.xml" Id="R8ff4fe43b8cb48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e6c49a1451458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275ea3867ca40a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bdcb891208741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Horas de capacitación vs. ventas</a:t>
            </a:r>
          </a:p>
        </c:rich>
      </c:tx>
    </c:title>
    <c:plotArea>
      <c:scatterChart>
        <c:scatterStyle val="marker"/>
        <c:ser>
          <c:idx val="0"/>
          <c:order val="0"/>
          <c:tx>
            <c:v>Ventas</c:v>
          </c:tx>
          <c:xVal>
            <c:numLit>
              <c:formatCode>General</c:formatCode>
              <c:ptCount val="0"/>
            </c:numLit>
          </c:xVal>
          <c:yVal>
            <c:numRef>
              <c:f>'Punto15_Correlacion'!$C$5:$C$9</c:f>
              <c:numCache>
                <c:formatCode>$#,##0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Ventas mensuales por sucursal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Ventas mensuales ($)</c:v>
          </c:tx>
          <c:cat>
            <c:strRef>
              <c:f>'Punto17_Hipotesis'!$A$7:$A$18</c:f>
              <c:strCache>
                <c:ptCount val="0"/>
              </c:strCache>
            </c:strRef>
          </c:cat>
          <c:val>
            <c:numRef>
              <c:f>'Punto17_Hipotesis'!$B$7:$B$18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Media observada vs. valor de referencia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'Graficas'!$A$4:$A$5</c:f>
              <c:strCache>
                <c:ptCount val="0"/>
              </c:strCache>
            </c:strRef>
          </c:cat>
          <c:val>
            <c:numRef>
              <c:f>'Graficas'!$B$4:$B$5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e6c49a1451458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75ea3867ca40a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dcb891208741f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41044ec802e49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23e1ffa469544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fc9349694aac4c79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9.200000762939453" hidden="0" customHeight="1">
      <x:c r="A1" s="22" t="str">
        <x:v>Clase 4 — Guía docente: puntos 15 y 17</x:v>
      </x:c>
      <x:c r="B1" s="22"/>
      <x:c r="C1" s="22"/>
      <x:c r="D1" s="22"/>
      <x:c r="E1" s="22"/>
      <x:c r="F1" s="22"/>
      <x:c r="G1" s="22"/>
      <x:c r="H1" s="22"/>
    </x:row>
    <x:row r="2" ht="15" hidden="0" customHeight="1">
      <x:c r="A2" s="23"/>
      <x:c r="B2" s="23"/>
      <x:c r="C2" s="23"/>
      <x:c r="D2" s="23"/>
      <x:c r="E2" s="23"/>
      <x:c r="F2" s="23"/>
      <x:c r="G2" s="23"/>
      <x:c r="H2" s="23"/>
    </x:row>
    <x:row r="3" ht="15.600000381469727" hidden="0" customHeight="1">
      <x:c r="A3" s="24" t="str">
        <x:v>Objetivo</x:v>
      </x:c>
      <x:c r="B3" s="23"/>
      <x:c r="C3" s="23"/>
      <x:c r="D3" s="23"/>
      <x:c r="E3" s="23"/>
      <x:c r="F3" s="23"/>
      <x:c r="G3" s="23"/>
      <x:c r="H3" s="23"/>
    </x:row>
    <x:row r="4">
      <x:c r="A4" s="23" t="str">
        <x:v>Que el alumno comprenda el razonamiento de una prueba estadística: partir de una pregunta, plantear H0 y H1, fijar α, seleccionar una prueba, obtener un resultado y finalmente interpretarlo.</x:v>
      </x:c>
      <x:c r="B4" s="23"/>
      <x:c r="C4" s="23"/>
      <x:c r="D4" s="23"/>
      <x:c r="E4" s="23"/>
      <x:c r="F4" s="23"/>
      <x:c r="G4" s="23"/>
      <x:c r="H4" s="23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 ht="15" hidden="0" customHeight="1">
      <x:c r="A6" s="23"/>
      <x:c r="B6" s="23"/>
      <x:c r="C6" s="23"/>
      <x:c r="D6" s="23"/>
      <x:c r="E6" s="23"/>
      <x:c r="F6" s="23"/>
      <x:c r="G6" s="23"/>
      <x:c r="H6" s="23"/>
    </x:row>
    <x:row r="7" ht="78" hidden="0" customHeight="1">
      <x:c r="A7" s="24" t="str">
        <x:v>Punto 15 — Práctica con Excel</x:v>
      </x:c>
      <x:c r="B7" s="23"/>
      <x:c r="C7" s="23"/>
      <x:c r="D7" s="23"/>
      <x:c r="E7" s="23"/>
      <x:c r="F7" s="23"/>
      <x:c r="G7" s="23"/>
      <x:c r="H7" s="23"/>
    </x:row>
    <x:row r="8" ht="26.399999618530273" hidden="0" customHeight="1">
      <x:c r="A8" s="23" t="str">
        <x:v>Usar los datos del material: Horas de capacitación 2, 3, 4, 5 y 6; Ventas $10,000, $12,000, $12,500, $15,000 y $16,000.</x:v>
      </x:c>
      <x:c r="B8" s="23"/>
      <x:c r="C8" s="23"/>
      <x:c r="D8" s="23"/>
      <x:c r="E8" s="23"/>
      <x:c r="F8" s="23"/>
      <x:c r="G8" s="23"/>
      <x:c r="H8" s="23"/>
    </x:row>
    <x:row r="9" ht="15" hidden="0" customHeight="1">
      <x:c r="A9" s="23" t="str">
        <x:v>Crear una gráfica de dispersión.</x:v>
      </x:c>
      <x:c r="B9" s="23"/>
      <x:c r="C9" s="23"/>
      <x:c r="D9" s="23"/>
      <x:c r="E9" s="23"/>
      <x:c r="F9" s="23"/>
      <x:c r="G9" s="23"/>
      <x:c r="H9" s="23"/>
    </x:row>
    <x:row r="10" ht="15" hidden="0" customHeight="1">
      <x:c r="A10" s="23" t="str">
        <x:v>Calcular correlación.</x:v>
      </x:c>
      <x:c r="B10" s="23"/>
      <x:c r="C10" s="23"/>
      <x:c r="D10" s="23"/>
      <x:c r="E10" s="23"/>
      <x:c r="F10" s="23"/>
      <x:c r="G10" s="23"/>
      <x:c r="H10" s="23"/>
    </x:row>
    <x:row r="11" ht="15" hidden="0" customHeight="1">
      <x:c r="A11" s="23" t="str">
        <x:v>Responder: ¿hay relación?, ¿es positiva o negativa?, ¿qué tan fuerte parece?</x:v>
      </x:c>
      <x:c r="B11" s="23"/>
      <x:c r="C11" s="23"/>
      <x:c r="D11" s="23"/>
      <x:c r="E11" s="23"/>
      <x:c r="F11" s="23"/>
      <x:c r="G11" s="23"/>
      <x:c r="H11" s="23"/>
    </x:row>
    <x:row r="12" ht="15" hidden="0" customHeight="1">
      <x:c r="A12" s="23"/>
      <x:c r="B12" s="23"/>
      <x:c r="C12" s="23"/>
      <x:c r="D12" s="23"/>
      <x:c r="E12" s="23"/>
      <x:c r="F12" s="23"/>
      <x:c r="G12" s="23"/>
      <x:c r="H12" s="23"/>
    </x:row>
    <x:row r="13" ht="15" hidden="0" customHeight="1">
      <x:c r="A13" s="23"/>
      <x:c r="B13" s="23"/>
      <x:c r="C13" s="23"/>
      <x:c r="D13" s="23"/>
      <x:c r="E13" s="23"/>
      <x:c r="F13" s="23"/>
      <x:c r="G13" s="23"/>
      <x:c r="H13" s="23"/>
    </x:row>
    <x:row r="14" ht="78" hidden="0" customHeight="1">
      <x:c r="A14" s="24" t="str">
        <x:v>Punto 17 — Actividad de análisis</x:v>
      </x:c>
      <x:c r="B14" s="23"/>
      <x:c r="C14" s="23"/>
      <x:c r="D14" s="23"/>
      <x:c r="E14" s="23"/>
      <x:c r="F14" s="23"/>
      <x:c r="G14" s="23"/>
      <x:c r="H14" s="23"/>
    </x:row>
    <x:row r="15" ht="15" hidden="0" customHeight="1">
      <x:c r="A15" s="23" t="str">
        <x:v>Caso guía creado para resolver la actividad: ventas mensuales de 12 sucursales.</x:v>
      </x:c>
      <x:c r="B15" s="23"/>
      <x:c r="C15" s="23"/>
      <x:c r="D15" s="23"/>
      <x:c r="E15" s="23"/>
      <x:c r="F15" s="23"/>
      <x:c r="G15" s="23"/>
      <x:c r="H15" s="23"/>
    </x:row>
    <x:row r="16" ht="15" hidden="0" customHeight="1">
      <x:c r="A16" s="23" t="str">
        <x:v>Pregunta: ¿el promedio de ventas mensuales es diferente de $13,000?</x:v>
      </x:c>
      <x:c r="B16" s="23"/>
      <x:c r="C16" s="23"/>
      <x:c r="D16" s="23"/>
      <x:c r="E16" s="23"/>
      <x:c r="F16" s="23"/>
      <x:c r="G16" s="23"/>
      <x:c r="H16" s="23"/>
    </x:row>
    <x:row r="17" ht="15" hidden="0" customHeight="1">
      <x:c r="A17" s="23" t="str">
        <x:v>H0: μ = $13,000.</x:v>
      </x:c>
      <x:c r="B17" s="23"/>
      <x:c r="C17" s="23"/>
      <x:c r="D17" s="23"/>
      <x:c r="E17" s="23"/>
      <x:c r="F17" s="23"/>
      <x:c r="G17" s="23"/>
      <x:c r="H17" s="23"/>
    </x:row>
    <x:row r="18" ht="15" hidden="0" customHeight="1">
      <x:c r="A18" s="23" t="str">
        <x:v>H1: μ ≠ $13,000.</x:v>
      </x:c>
      <x:c r="B18" s="23"/>
      <x:c r="C18" s="23"/>
      <x:c r="D18" s="23"/>
      <x:c r="E18" s="23"/>
      <x:c r="F18" s="23"/>
      <x:c r="G18" s="23"/>
      <x:c r="H18" s="23"/>
    </x:row>
    <x:row r="19" ht="15" hidden="0" customHeight="1">
      <x:c r="A19" s="23" t="str">
        <x:v>α = 0.05.</x:v>
      </x:c>
      <x:c r="B19" s="23"/>
      <x:c r="C19" s="23"/>
      <x:c r="D19" s="23"/>
      <x:c r="E19" s="23"/>
      <x:c r="F19" s="23"/>
      <x:c r="G19" s="23"/>
      <x:c r="H19" s="23"/>
    </x:row>
    <x:row r="20" ht="15" hidden="0" customHeight="1">
      <x:c r="A20" s="23" t="str">
        <x:v>Prueba utilizada: t de una muestra.</x:v>
      </x:c>
      <x:c r="B20" s="23"/>
      <x:c r="C20" s="23"/>
      <x:c r="D20" s="23"/>
      <x:c r="E20" s="23"/>
      <x:c r="F20" s="23"/>
      <x:c r="G20" s="23"/>
      <x:c r="H20" s="23"/>
    </x:row>
    <x:row r="21" ht="15" hidden="0" customHeight="1">
      <x:c r="A21" s="23" t="str">
        <x:v>El archivo incluye resultado, decisión e interpretación empresarial.</x:v>
      </x:c>
      <x:c r="B21" s="23"/>
      <x:c r="C21" s="23"/>
      <x:c r="D21" s="23"/>
      <x:c r="E21" s="23"/>
      <x:c r="F21" s="23"/>
      <x:c r="G21" s="23"/>
      <x:c r="H21" s="23"/>
    </x:row>
    <x:row r="22" ht="15" hidden="0" customHeight="1">
      <x:c r="A22" s="23"/>
      <x:c r="B22" s="23"/>
      <x:c r="C22" s="23"/>
      <x:c r="D22" s="23"/>
      <x:c r="E22" s="23"/>
      <x:c r="F22" s="23"/>
      <x:c r="G22" s="23"/>
      <x:c r="H22" s="23"/>
    </x:row>
    <x:row r="23" ht="15" hidden="0" customHeight="1">
      <x:c r="A23" s="23"/>
      <x:c r="B23" s="23"/>
      <x:c r="C23" s="23"/>
      <x:c r="D23" s="23"/>
      <x:c r="E23" s="23"/>
      <x:c r="F23" s="23"/>
      <x:c r="G23" s="23"/>
      <x:c r="H23" s="23"/>
    </x:row>
    <x:row r="24" ht="26.399999618530273" hidden="0" customHeight="1">
      <x:c r="A24" s="25" t="str">
        <x:v>Regla de decisión</x:v>
      </x:c>
      <x:c r="B24" s="23"/>
      <x:c r="C24" s="23"/>
      <x:c r="D24" s="23"/>
      <x:c r="E24" s="23"/>
      <x:c r="F24" s="23"/>
      <x:c r="G24" s="23"/>
      <x:c r="H24" s="23"/>
    </x:row>
    <x:row r="25" ht="15" hidden="0" customHeight="1">
      <x:c r="A25" s="17" t="str">
        <x:v>Si p &lt; 0.05 → rechazar H0. Si p ≥ 0.05 → no rechazar H0.</x:v>
      </x:c>
      <x:c r="B25" s="17"/>
      <x:c r="C25" s="17"/>
      <x:c r="D25" s="17"/>
      <x:c r="E25" s="17"/>
      <x:c r="F25" s="17"/>
      <x:c r="G25" s="17"/>
      <x:c r="H25" s="17"/>
    </x:row>
    <x:row r="26" ht="15" hidden="0" customHeight="1">
      <x:c r="A26" s="23"/>
      <x:c r="B26" s="23"/>
      <x:c r="C26" s="23"/>
      <x:c r="D26" s="23"/>
      <x:c r="E26" s="23"/>
      <x:c r="F26" s="23"/>
      <x:c r="G26" s="23"/>
      <x:c r="H26" s="23"/>
    </x:row>
    <x:row r="27" ht="26.399999618530273" hidden="0" customHeight="1">
      <x:c r="A27" s="25" t="str">
        <x:v>Nota docente</x:v>
      </x:c>
      <x:c r="B27" s="23"/>
      <x:c r="C27" s="23"/>
      <x:c r="D27" s="23"/>
      <x:c r="E27" s="23"/>
      <x:c r="F27" s="23"/>
      <x:c r="G27" s="23"/>
      <x:c r="H27" s="23"/>
    </x:row>
    <x:row r="28">
      <x:c r="A28" s="17" t="str">
        <x:v>No decir que un p-valor de 0.03 significa que H0 tiene 3% de probabilidad de ser verdadera. Tampoco decir que p&gt;0.05 demuestra que H0 es verdadera. La conclusión correcta se expresa en términos de evidencia estadística.</x:v>
      </x:c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4:H5"/>
    <x:mergeCell ref="A8:H8"/>
    <x:mergeCell ref="A9:H9"/>
    <x:mergeCell ref="A10:H10"/>
    <x:mergeCell ref="A11:H11"/>
    <x:mergeCell ref="A15:H15"/>
    <x:mergeCell ref="A16:H16"/>
    <x:mergeCell ref="A17:H17"/>
    <x:mergeCell ref="A18:H18"/>
    <x:mergeCell ref="A19:H19"/>
    <x:mergeCell ref="A20:H20"/>
    <x:mergeCell ref="A21:H21"/>
    <x:mergeCell ref="A25:H25"/>
    <x:mergeCell ref="A28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2" t="str">
        <x:v>Punto 15 — Correlación: capacitación y ventas</x:v>
      </x:c>
      <x:c r="B1" s="22"/>
      <x:c r="C1" s="22"/>
      <x:c r="D1" s="22"/>
      <x:c r="E1" s="22"/>
      <x:c r="F1" s="22"/>
    </x:row>
    <x:row r="2">
      <x:c r="A2" s="23" t="str">
        <x:v>Datos exactamente planteados en el material de clase.</x:v>
      </x:c>
      <x:c r="B2" s="23"/>
      <x:c r="C2" s="23"/>
      <x:c r="D2" s="23"/>
      <x:c r="E2" s="23"/>
      <x:c r="F2" s="23"/>
    </x:row>
    <x:row r="3">
      <x:c r="A3" s="23"/>
      <x:c r="B3" s="23"/>
      <x:c r="C3" s="23"/>
      <x:c r="D3" s="23"/>
      <x:c r="E3" s="23"/>
      <x:c r="F3" s="23"/>
    </x:row>
    <x:row r="4">
      <x:c r="A4" s="34" t="str">
        <x:v>Observación</x:v>
      </x:c>
      <x:c r="B4" s="34" t="str">
        <x:v>HorasCapacitacion</x:v>
      </x:c>
      <x:c r="C4" s="34" t="str">
        <x:v>Ventas</x:v>
      </x:c>
      <x:c r="D4" s="23"/>
      <x:c r="E4" s="23"/>
      <x:c r="F4" s="23"/>
    </x:row>
    <x:row r="5">
      <x:c r="A5" s="23" t="n">
        <x:v>1</x:v>
      </x:c>
      <x:c r="B5" s="23" t="n">
        <x:v>2</x:v>
      </x:c>
      <x:c r="C5" s="52" t="n">
        <x:v>10000</x:v>
      </x:c>
      <x:c r="D5" s="23"/>
      <x:c r="E5" s="23"/>
      <x:c r="F5" s="23"/>
    </x:row>
    <x:row r="6">
      <x:c r="A6" s="23" t="n">
        <x:v>2</x:v>
      </x:c>
      <x:c r="B6" s="23" t="n">
        <x:v>3</x:v>
      </x:c>
      <x:c r="C6" s="52" t="n">
        <x:v>12000</x:v>
      </x:c>
      <x:c r="D6" s="23"/>
      <x:c r="E6" s="23"/>
      <x:c r="F6" s="23"/>
    </x:row>
    <x:row r="7">
      <x:c r="A7" s="23" t="n">
        <x:v>3</x:v>
      </x:c>
      <x:c r="B7" s="23" t="n">
        <x:v>4</x:v>
      </x:c>
      <x:c r="C7" s="52" t="n">
        <x:v>12500</x:v>
      </x:c>
      <x:c r="D7" s="23"/>
      <x:c r="E7" s="23"/>
      <x:c r="F7" s="23"/>
    </x:row>
    <x:row r="8">
      <x:c r="A8" s="23" t="n">
        <x:v>4</x:v>
      </x:c>
      <x:c r="B8" s="23" t="n">
        <x:v>5</x:v>
      </x:c>
      <x:c r="C8" s="52" t="n">
        <x:v>15000</x:v>
      </x:c>
      <x:c r="D8" s="23"/>
      <x:c r="E8" s="23"/>
      <x:c r="F8" s="23"/>
    </x:row>
    <x:row r="9">
      <x:c r="A9" s="23" t="n">
        <x:v>5</x:v>
      </x:c>
      <x:c r="B9" s="23" t="n">
        <x:v>6</x:v>
      </x:c>
      <x:c r="C9" s="52" t="n">
        <x:v>16000</x:v>
      </x:c>
      <x:c r="D9" s="23"/>
      <x:c r="E9" s="23"/>
      <x:c r="F9" s="23"/>
    </x:row>
    <x:row r="10">
      <x:c r="A10" s="23"/>
      <x:c r="B10" s="23"/>
      <x:c r="C10" s="23"/>
      <x:c r="D10" s="23"/>
      <x:c r="E10" s="23"/>
      <x:c r="F10" s="23"/>
    </x:row>
    <x:row r="11">
      <x:c r="A11" s="23"/>
      <x:c r="B11" s="23"/>
      <x:c r="C11" s="23"/>
      <x:c r="D11" s="23"/>
      <x:c r="E11" s="23"/>
      <x:c r="F11" s="23"/>
    </x:row>
    <x:row r="12">
      <x:c r="A12" s="34" t="str">
        <x:v>Resultado</x:v>
      </x:c>
      <x:c r="B12" s="34" t="str">
        <x:v>Valor</x:v>
      </x:c>
      <x:c r="C12" s="23"/>
      <x:c r="D12" s="34" t="str">
        <x:v>Interpretación</x:v>
      </x:c>
      <x:c r="E12" s="34"/>
      <x:c r="F12" s="34"/>
    </x:row>
    <x:row r="13">
      <x:c r="A13" s="23" t="str">
        <x:v>Correlación de Pearson (r)</x:v>
      </x:c>
      <x:c r="B13" s="53" t="n">
        <x:f>CORREL(B5:B9,C5:C9)</x:f>
        <x:v>0.9847982464479191</x:v>
      </x:c>
      <x:c r="C13" s="23"/>
      <x:c r="D13" s="47" t="str">
        <x:v>La correlación es aproximadamente 0.985: existe una relación lineal positiva muy fuerte. En estos datos, conforme aumentan las horas de capacitación, las ventas también tienden a aumentar.</x:v>
      </x:c>
      <x:c r="E13" s="47"/>
      <x:c r="F13" s="47"/>
    </x:row>
    <x:row r="14">
      <x:c r="A14" s="23" t="str">
        <x:v>R²</x:v>
      </x:c>
      <x:c r="B14" s="53" t="n">
        <x:f>B13^2</x:f>
        <x:v>0.9698275862068965</x:v>
      </x:c>
      <x:c r="C14" s="23"/>
      <x:c r="D14" s="47"/>
      <x:c r="E14" s="47"/>
      <x:c r="F14" s="47"/>
    </x:row>
    <x:row r="15">
      <x:c r="A15" s="23" t="str">
        <x:v>Dirección</x:v>
      </x:c>
      <x:c r="B15" s="23" t="str">
        <x:f>IF(B13&gt;0,"Positiva",IF(B13&lt;0,"Negativa","Sin relación lineal"))</x:f>
        <x:v>Positiva</x:v>
      </x:c>
      <x:c r="C15" s="23"/>
      <x:c r="D15" s="47"/>
      <x:c r="E15" s="47"/>
      <x:c r="F15" s="47"/>
    </x:row>
    <x:row r="16">
      <x:c r="A16" s="23" t="str">
        <x:v>Fuerza aproximada</x:v>
      </x:c>
      <x:c r="B16" s="23" t="str">
        <x:f>IF(ABS(B13)&gt;=0.8,"Fuerte",IF(ABS(B13)&gt;=0.5,"Moderada","Débil"))</x:f>
        <x:v>Fuerte</x:v>
      </x:c>
      <x:c r="C16" s="23"/>
      <x:c r="D16" s="47"/>
      <x:c r="E16" s="47"/>
      <x:c r="F16" s="47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34" t="str">
        <x:v>Advertencia</x:v>
      </x:c>
      <x:c r="E18" s="34"/>
      <x:c r="F18" s="34"/>
    </x:row>
    <x:row r="19">
      <x:c r="A19" s="23"/>
      <x:c r="B19" s="23"/>
      <x:c r="C19" s="23"/>
      <x:c r="D19" s="17" t="str">
        <x:v>Correlación no significa causalidad. Estos datos permiten hablar de asociación lineal, pero no demuestran que la capacitación sea la causa del aumento de ventas.</x:v>
      </x:c>
      <x:c r="E19" s="17"/>
      <x:c r="F19" s="17"/>
    </x:row>
    <x:row r="20">
      <x:c r="A20" s="23"/>
      <x:c r="B20" s="23"/>
      <x:c r="C20" s="23"/>
      <x:c r="D20" s="17"/>
      <x:c r="E20" s="17"/>
      <x:c r="F20" s="17"/>
    </x:row>
    <x:row r="21">
      <x:c r="A21" s="23"/>
      <x:c r="B21" s="23"/>
      <x:c r="C21" s="23"/>
      <x:c r="D21" s="17"/>
      <x:c r="E21" s="17"/>
      <x:c r="F21" s="17"/>
    </x:row>
    <x:row r="22">
      <x:c r="A22" s="23"/>
      <x:c r="B22" s="23"/>
      <x:c r="C22" s="23"/>
      <x:c r="D22" s="17"/>
      <x:c r="E22" s="17"/>
      <x:c r="F22" s="17"/>
    </x:row>
    <x:row r="23">
      <x:c r="A23" s="23"/>
      <x:c r="B23" s="23"/>
      <x:c r="C23" s="23"/>
      <x:c r="D23" s="23"/>
      <x:c r="E23" s="23"/>
      <x:c r="F23" s="23"/>
    </x:row>
    <x:row r="24">
      <x:c r="A24" s="23"/>
      <x:c r="B24" s="23"/>
      <x:c r="C24" s="23"/>
      <x:c r="D24" s="23"/>
      <x:c r="E24" s="23"/>
      <x:c r="F24" s="23"/>
    </x:row>
    <x:row r="25">
      <x:c r="A25" s="23"/>
      <x:c r="B25" s="23"/>
      <x:c r="C25" s="23"/>
      <x:c r="D25" s="23"/>
      <x:c r="E25" s="23"/>
      <x:c r="F25" s="23"/>
    </x:row>
    <x:row r="26">
      <x:c r="A26" s="23"/>
      <x:c r="B26" s="23"/>
      <x:c r="C26" s="23"/>
      <x:c r="D26" s="23"/>
      <x:c r="E26" s="23"/>
      <x:c r="F26" s="23"/>
    </x:row>
    <x:row r="27">
      <x:c r="A27" s="23"/>
      <x:c r="B27" s="23"/>
      <x:c r="C27" s="23"/>
      <x:c r="D27" s="23"/>
      <x:c r="E27" s="23"/>
      <x:c r="F27" s="23"/>
    </x:row>
    <x:row r="28">
      <x:c r="A28" s="23"/>
      <x:c r="B28" s="23"/>
      <x:c r="C28" s="23"/>
      <x:c r="D28" s="23"/>
      <x:c r="E28" s="23"/>
      <x:c r="F28" s="23"/>
    </x:row>
    <x:row r="29">
      <x:c r="A29" s="23"/>
      <x:c r="B29" s="23"/>
      <x:c r="C29" s="23"/>
      <x:c r="D29" s="23"/>
      <x:c r="E29" s="23"/>
      <x:c r="F29" s="23"/>
    </x:row>
    <x:row r="30">
      <x:c r="A30" s="23"/>
      <x:c r="B30" s="23"/>
      <x:c r="C30" s="23"/>
      <x:c r="D30" s="23"/>
      <x:c r="E30" s="23"/>
      <x:c r="F30" s="23"/>
    </x:row>
    <x:row r="31">
      <x:c r="A31" s="23"/>
      <x:c r="B31" s="23"/>
      <x:c r="C31" s="23"/>
      <x:c r="D31" s="23"/>
      <x:c r="E31" s="23"/>
      <x:c r="F31" s="23"/>
    </x:row>
    <x:row r="32">
      <x:c r="A32" s="23"/>
      <x:c r="B32" s="23"/>
      <x:c r="C32" s="23"/>
      <x:c r="D32" s="23"/>
      <x:c r="E32" s="23"/>
      <x:c r="F32" s="23"/>
    </x:row>
    <x:row r="33">
      <x:c r="A33" s="23"/>
      <x:c r="B33" s="23"/>
      <x:c r="C33" s="23"/>
      <x:c r="D33" s="23"/>
      <x:c r="E33" s="23"/>
      <x:c r="F33" s="23"/>
    </x:row>
    <x:row r="34">
      <x:c r="A34" s="23"/>
      <x:c r="B34" s="23"/>
      <x:c r="C34" s="23"/>
      <x:c r="D34" s="23"/>
      <x:c r="E34" s="23"/>
      <x:c r="F34" s="23"/>
    </x:row>
    <x:row r="35">
      <x:c r="A35" s="23"/>
      <x:c r="B35" s="23"/>
      <x:c r="C35" s="23"/>
      <x:c r="D35" s="23"/>
      <x:c r="E35" s="23"/>
      <x:c r="F35" s="23"/>
    </x:row>
    <x:row r="36">
      <x:c r="A36" s="23"/>
      <x:c r="B36" s="23"/>
      <x:c r="C36" s="23"/>
      <x:c r="D36" s="23"/>
      <x:c r="E36" s="23"/>
      <x:c r="F36" s="23"/>
    </x:row>
    <x:row r="37">
      <x:c r="A37" s="23"/>
      <x:c r="B37" s="23"/>
      <x:c r="C37" s="23"/>
      <x:c r="D37" s="23"/>
      <x:c r="E37" s="23"/>
      <x:c r="F37" s="23"/>
    </x:row>
    <x:row r="38">
      <x:c r="A38" s="23"/>
      <x:c r="B38" s="23"/>
      <x:c r="C38" s="23"/>
      <x:c r="D38" s="23"/>
      <x:c r="E38" s="23"/>
      <x:c r="F38" s="23"/>
    </x:row>
    <x:row r="39">
      <x:c r="A39" s="23"/>
      <x:c r="B39" s="23"/>
      <x:c r="C39" s="23"/>
      <x:c r="D39" s="23"/>
      <x:c r="E39" s="23"/>
      <x:c r="F39" s="23"/>
    </x:row>
    <x:row r="40">
      <x:c r="A40" s="23"/>
      <x:c r="B40" s="23"/>
      <x:c r="C40" s="23"/>
      <x:c r="D40" s="23"/>
      <x:c r="E40" s="23"/>
      <x:c r="F40" s="23"/>
    </x:row>
  </x:sheetData>
  <x:mergeCells>
    <x:mergeCell ref="A1:F1"/>
    <x:mergeCell ref="A2:F2"/>
    <x:mergeCell ref="D12:F12"/>
    <x:mergeCell ref="D13:F16"/>
    <x:mergeCell ref="D18:F18"/>
    <x:mergeCell ref="D19:F22"/>
  </x:mergeCells>
  <x:pageMargins left="0.7" right="0.7" top="0.75" bottom="0.75" header="0.3" footer="0.3"/>
  <x:drawing xmlns:r="http://schemas.openxmlformats.org/officeDocument/2006/relationships" r:id="R841044ec802e49e2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30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2" t="str">
        <x:v>Punto 17 — Prueba de hipótesis: ventas mensuales</x:v>
      </x:c>
      <x:c r="B1" s="22"/>
      <x:c r="C1" s="22"/>
      <x:c r="D1" s="22"/>
      <x:c r="E1" s="22"/>
      <x:c r="F1" s="22"/>
      <x:c r="G1" s="22"/>
      <x:c r="H1" s="22"/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5" t="str">
        <x:v>Pregunta de investigación</x:v>
      </x:c>
      <x:c r="B3" s="23"/>
      <x:c r="C3" s="23"/>
      <x:c r="D3" s="23"/>
      <x:c r="E3" s="23"/>
      <x:c r="F3" s="23"/>
      <x:c r="G3" s="23"/>
      <x:c r="H3" s="23"/>
    </x:row>
    <x:row r="4">
      <x:c r="A4" s="23" t="str">
        <x:v>¿El promedio de ventas mensuales de las sucursales es diferente de $13,000?</x:v>
      </x:c>
      <x:c r="B4" s="23"/>
      <x:c r="C4" s="23"/>
      <x:c r="D4" s="23"/>
      <x:c r="E4" s="23"/>
      <x:c r="F4" s="23"/>
      <x:c r="G4" s="23"/>
      <x:c r="H4" s="23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>
      <x:c r="A6" s="34" t="str">
        <x:v>Sucursal</x:v>
      </x:c>
      <x:c r="B6" s="34" t="str">
        <x:v>Ventas mensuales ($)</x:v>
      </x:c>
      <x:c r="C6" s="23"/>
      <x:c r="D6" s="34" t="str">
        <x:v>Elemento</x:v>
      </x:c>
      <x:c r="E6" s="34" t="str">
        <x:v>Valor</x:v>
      </x:c>
      <x:c r="F6" s="23"/>
      <x:c r="G6" s="23"/>
      <x:c r="H6" s="23"/>
    </x:row>
    <x:row r="7">
      <x:c r="A7" s="23" t="str">
        <x:v>Sucursal 1</x:v>
      </x:c>
      <x:c r="B7" s="52" t="n">
        <x:v>11800</x:v>
      </x:c>
      <x:c r="C7" s="23"/>
      <x:c r="D7" s="23" t="str">
        <x:v>H0</x:v>
      </x:c>
      <x:c r="E7" s="23" t="str">
        <x:v>μ = $13,000</x:v>
      </x:c>
      <x:c r="F7" s="23"/>
      <x:c r="G7" s="23"/>
      <x:c r="H7" s="23"/>
    </x:row>
    <x:row r="8">
      <x:c r="A8" s="23" t="str">
        <x:v>Sucursal 2</x:v>
      </x:c>
      <x:c r="B8" s="52" t="n">
        <x:v>12500</x:v>
      </x:c>
      <x:c r="C8" s="23"/>
      <x:c r="D8" s="23" t="str">
        <x:v>H1</x:v>
      </x:c>
      <x:c r="E8" s="23" t="str">
        <x:v>μ ≠ $13,000</x:v>
      </x:c>
      <x:c r="F8" s="23"/>
      <x:c r="G8" s="23"/>
      <x:c r="H8" s="23"/>
    </x:row>
    <x:row r="9">
      <x:c r="A9" s="23" t="str">
        <x:v>Sucursal 3</x:v>
      </x:c>
      <x:c r="B9" s="52" t="n">
        <x:v>12700</x:v>
      </x:c>
      <x:c r="C9" s="23"/>
      <x:c r="D9" s="23" t="str">
        <x:v>α</x:v>
      </x:c>
      <x:c r="E9" s="60" t="n">
        <x:v>0.05</x:v>
      </x:c>
      <x:c r="F9" s="23"/>
      <x:c r="G9" s="23"/>
      <x:c r="H9" s="23"/>
    </x:row>
    <x:row r="10">
      <x:c r="A10" s="23" t="str">
        <x:v>Sucursal 4</x:v>
      </x:c>
      <x:c r="B10" s="52" t="n">
        <x:v>13000</x:v>
      </x:c>
      <x:c r="C10" s="23"/>
      <x:c r="D10" s="23" t="str">
        <x:v>Valor de referencia μ0</x:v>
      </x:c>
      <x:c r="E10" s="52" t="n">
        <x:v>13000</x:v>
      </x:c>
      <x:c r="F10" s="23"/>
      <x:c r="G10" s="23"/>
      <x:c r="H10" s="23"/>
    </x:row>
    <x:row r="11">
      <x:c r="A11" s="23" t="str">
        <x:v>Sucursal 5</x:v>
      </x:c>
      <x:c r="B11" s="52" t="n">
        <x:v>13100</x:v>
      </x:c>
      <x:c r="C11" s="23"/>
      <x:c r="D11" s="23"/>
      <x:c r="E11" s="23"/>
      <x:c r="F11" s="23"/>
      <x:c r="G11" s="23"/>
      <x:c r="H11" s="23"/>
    </x:row>
    <x:row r="12">
      <x:c r="A12" s="23" t="str">
        <x:v>Sucursal 6</x:v>
      </x:c>
      <x:c r="B12" s="52" t="n">
        <x:v>13200</x:v>
      </x:c>
      <x:c r="C12" s="23"/>
      <x:c r="D12" s="23"/>
      <x:c r="E12" s="23"/>
      <x:c r="F12" s="23"/>
      <x:c r="G12" s="23"/>
      <x:c r="H12" s="23"/>
    </x:row>
    <x:row r="13">
      <x:c r="A13" s="23" t="str">
        <x:v>Sucursal 7</x:v>
      </x:c>
      <x:c r="B13" s="52" t="n">
        <x:v>13300</x:v>
      </x:c>
      <x:c r="C13" s="23"/>
      <x:c r="D13" s="34" t="str">
        <x:v>Cálculos</x:v>
      </x:c>
      <x:c r="E13" s="34" t="str">
        <x:v>Resultado</x:v>
      </x:c>
      <x:c r="F13" s="23"/>
      <x:c r="G13" s="23"/>
      <x:c r="H13" s="23"/>
    </x:row>
    <x:row r="14">
      <x:c r="A14" s="23" t="str">
        <x:v>Sucursal 8</x:v>
      </x:c>
      <x:c r="B14" s="52" t="n">
        <x:v>13400</x:v>
      </x:c>
      <x:c r="C14" s="23"/>
      <x:c r="D14" s="23" t="str">
        <x:v>n</x:v>
      </x:c>
      <x:c r="E14" s="23" t="n">
        <x:f>COUNT(B7:B18)</x:f>
        <x:v>12</x:v>
      </x:c>
      <x:c r="F14" s="23"/>
      <x:c r="G14" s="23"/>
      <x:c r="H14" s="23"/>
    </x:row>
    <x:row r="15">
      <x:c r="A15" s="23" t="str">
        <x:v>Sucursal 9</x:v>
      </x:c>
      <x:c r="B15" s="52" t="n">
        <x:v>13500</x:v>
      </x:c>
      <x:c r="C15" s="23"/>
      <x:c r="D15" s="23" t="str">
        <x:v>Media muestral</x:v>
      </x:c>
      <x:c r="E15" s="61" t="n">
        <x:f>AVERAGE(B7:B18)</x:f>
        <x:v>13158.333333333334</x:v>
      </x:c>
      <x:c r="F15" s="23"/>
      <x:c r="G15" s="23"/>
      <x:c r="H15" s="23"/>
    </x:row>
    <x:row r="16">
      <x:c r="A16" s="23" t="str">
        <x:v>Sucursal 10</x:v>
      </x:c>
      <x:c r="B16" s="52" t="n">
        <x:v>13700</x:v>
      </x:c>
      <x:c r="C16" s="23"/>
      <x:c r="D16" s="23" t="str">
        <x:v>Desviación estándar muestral</x:v>
      </x:c>
      <x:c r="E16" s="61" t="n">
        <x:f>STDEV.S(B7:B18)</x:f>
        <x:v>600.6940430313366</x:v>
      </x:c>
      <x:c r="F16" s="23"/>
      <x:c r="G16" s="23"/>
      <x:c r="H16" s="23"/>
    </x:row>
    <x:row r="17">
      <x:c r="A17" s="23" t="str">
        <x:v>Sucursal 11</x:v>
      </x:c>
      <x:c r="B17" s="52" t="n">
        <x:v>13800</x:v>
      </x:c>
      <x:c r="C17" s="23"/>
      <x:c r="D17" s="23" t="str">
        <x:v>Error estándar</x:v>
      </x:c>
      <x:c r="E17" s="61" t="n">
        <x:f>E16/SQRT(E14)</x:f>
        <x:v>173.40543372237343</x:v>
      </x:c>
      <x:c r="F17" s="23"/>
      <x:c r="G17" s="23"/>
      <x:c r="H17" s="23"/>
    </x:row>
    <x:row r="18">
      <x:c r="A18" s="23" t="str">
        <x:v>Sucursal 12</x:v>
      </x:c>
      <x:c r="B18" s="52" t="n">
        <x:v>13900</x:v>
      </x:c>
      <x:c r="C18" s="23"/>
      <x:c r="D18" s="23" t="str">
        <x:v>t calculada</x:v>
      </x:c>
      <x:c r="E18" s="53" t="n">
        <x:f>(E15-E10)/E17</x:f>
        <x:v>0.9130817295312077</x:v>
      </x:c>
      <x:c r="F18" s="17" t="str">
        <x:v>Nota: el p-valor mostrado (≈0.3808) corresponde a una prueba t bilateral con t≈0.9131 y 11 grados de libertad. En Excel moderno puede obtenerse con =T.DIST.2T(ABS(t),gl).</x:v>
      </x:c>
      <x:c r="G18" s="17"/>
      <x:c r="H18" s="17"/>
    </x:row>
    <x:row r="19">
      <x:c r="A19" s="23"/>
      <x:c r="B19" s="23"/>
      <x:c r="C19" s="23"/>
      <x:c r="D19" s="23" t="str">
        <x:v>Grados de libertad</x:v>
      </x:c>
      <x:c r="E19" s="23" t="n">
        <x:f>E14-1</x:f>
        <x:v>11</x:v>
      </x:c>
      <x:c r="F19" s="17"/>
      <x:c r="G19" s="17"/>
      <x:c r="H19" s="17"/>
    </x:row>
    <x:row r="20">
      <x:c r="A20" s="23"/>
      <x:c r="B20" s="23"/>
      <x:c r="C20" s="23"/>
      <x:c r="D20" s="23" t="str">
        <x:v>p-valor (bilateral)</x:v>
      </x:c>
      <x:c r="E20" s="67" t="n">
        <x:v>0.3807768717635091</x:v>
      </x:c>
      <x:c r="F20" s="17"/>
      <x:c r="G20" s="17"/>
      <x:c r="H20" s="17"/>
    </x:row>
    <x:row r="21">
      <x:c r="A21" s="34" t="str">
        <x:v>Lectura rápida</x:v>
      </x:c>
      <x:c r="B21" s="34"/>
      <x:c r="C21" s="34"/>
      <x:c r="D21" s="23" t="str">
        <x:v>Decisión</x:v>
      </x:c>
      <x:c r="E21" s="47" t="str">
        <x:v>No rechazar H0</x:v>
      </x:c>
      <x:c r="F21" s="17"/>
      <x:c r="G21" s="17"/>
      <x:c r="H21" s="17"/>
    </x:row>
    <x:row r="22">
      <x:c r="A22" s="17" t="str">
        <x:v>La prueba compara la media observada con $13,000 considerando la variabilidad de los datos. Que la media muestral sea distinta de $13,000 no basta por sí solo; hay que evaluar si esa diferencia es suficientemente grande frente a la variabilidad de la muestra.</x:v>
      </x:c>
      <x:c r="B22" s="17"/>
      <x:c r="C22" s="17"/>
      <x:c r="D22" s="23"/>
      <x:c r="E22" s="23"/>
      <x:c r="F22" s="23"/>
      <x:c r="G22" s="23"/>
      <x:c r="H22" s="23"/>
    </x:row>
    <x:row r="23">
      <x:c r="A23" s="17"/>
      <x:c r="B23" s="17"/>
      <x:c r="C23" s="17"/>
      <x:c r="D23" s="34" t="str">
        <x:v>Interpretación empresarial</x:v>
      </x:c>
      <x:c r="E23" s="34"/>
      <x:c r="F23" s="34"/>
      <x:c r="G23" s="34"/>
      <x:c r="H23" s="34"/>
    </x:row>
    <x:row r="24">
      <x:c r="A24" s="17"/>
      <x:c r="B24" s="17"/>
      <x:c r="C24" s="17"/>
      <x:c r="D24" s="47" t="str">
        <x:v>Con estos datos el p-valor es aproximadamente 0.381, mayor que α=0.05. Por tanto, no se rechaza H0. No existe evidencia estadística suficiente para afirmar que el promedio de ventas mensuales sea diferente de $13,000. Esto no demuestra que el promedio verdadero sea exactamente $13,000.</x:v>
      </x:c>
      <x:c r="E24" s="47"/>
      <x:c r="F24" s="47"/>
      <x:c r="G24" s="47"/>
      <x:c r="H24" s="47"/>
    </x:row>
    <x:row r="25">
      <x:c r="A25" s="17"/>
      <x:c r="B25" s="17"/>
      <x:c r="C25" s="17"/>
      <x:c r="D25" s="47"/>
      <x:c r="E25" s="47"/>
      <x:c r="F25" s="47"/>
      <x:c r="G25" s="47"/>
      <x:c r="H25" s="47"/>
    </x:row>
    <x:row r="26">
      <x:c r="A26" s="17"/>
      <x:c r="B26" s="17"/>
      <x:c r="C26" s="17"/>
      <x:c r="D26" s="47"/>
      <x:c r="E26" s="47"/>
      <x:c r="F26" s="47"/>
      <x:c r="G26" s="47"/>
      <x:c r="H26" s="47"/>
    </x:row>
    <x:row r="27">
      <x:c r="A27" s="23"/>
      <x:c r="B27" s="23"/>
      <x:c r="C27" s="23"/>
      <x:c r="D27" s="47"/>
      <x:c r="E27" s="47"/>
      <x:c r="F27" s="47"/>
      <x:c r="G27" s="47"/>
      <x:c r="H27" s="47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23"/>
      <x:c r="B41" s="23"/>
      <x:c r="C41" s="23"/>
      <x:c r="D41" s="23"/>
      <x:c r="E41" s="23"/>
      <x:c r="F41" s="23"/>
      <x:c r="G41" s="23"/>
      <x:c r="H41" s="23"/>
    </x:row>
    <x:row r="42">
      <x:c r="A42" s="23"/>
      <x:c r="B42" s="23"/>
      <x:c r="C42" s="23"/>
      <x:c r="D42" s="23"/>
      <x:c r="E42" s="23"/>
      <x:c r="F42" s="23"/>
      <x:c r="G42" s="23"/>
      <x:c r="H42" s="23"/>
    </x:row>
    <x:row r="43">
      <x:c r="A43" s="23"/>
      <x:c r="B43" s="23"/>
      <x:c r="C43" s="23"/>
      <x:c r="D43" s="23"/>
      <x:c r="E43" s="23"/>
      <x:c r="F43" s="23"/>
      <x:c r="G43" s="23"/>
      <x:c r="H43" s="23"/>
    </x:row>
    <x:row r="44">
      <x:c r="A44" s="23"/>
      <x:c r="B44" s="23"/>
      <x:c r="C44" s="23"/>
      <x:c r="D44" s="23"/>
      <x:c r="E44" s="23"/>
      <x:c r="F44" s="23"/>
      <x:c r="G44" s="23"/>
      <x:c r="H44" s="23"/>
    </x:row>
    <x:row r="45">
      <x:c r="A45" s="23"/>
      <x:c r="B45" s="23"/>
      <x:c r="C45" s="23"/>
      <x:c r="D45" s="23"/>
      <x:c r="E45" s="23"/>
      <x:c r="F45" s="23"/>
      <x:c r="G45" s="23"/>
      <x:c r="H45" s="23"/>
    </x:row>
  </x:sheetData>
  <x:mergeCells>
    <x:mergeCell ref="A1:H1"/>
    <x:mergeCell ref="A4:H4"/>
    <x:mergeCell ref="D23:H23"/>
    <x:mergeCell ref="D24:H27"/>
    <x:mergeCell ref="A21:C21"/>
    <x:mergeCell ref="A22:C26"/>
    <x:mergeCell ref="F18:H21"/>
  </x:mergeCells>
  <x:pageMargins left="0.7" right="0.7" top="0.75" bottom="0.75" header="0.3" footer="0.3"/>
  <x:drawing xmlns:r="http://schemas.openxmlformats.org/officeDocument/2006/relationships" r:id="R623e1ffa469544f6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72" hidden="0" customWidth="1"/>
  </x:cols>
  <x:sheetData>
    <x:row r="1" ht="19.200000762939453" hidden="0" customHeight="1">
      <x:c r="A1" s="5" t="str">
        <x:v>Análisis y respuestas de referencia</x:v>
      </x:c>
      <x:c r="B1" s="5"/>
      <x:c r="C1" s="5"/>
    </x:row>
    <x:row r="2"/>
    <x:row r="3" ht="15" hidden="0" customHeight="1">
      <x:c r="A3" s="34" t="str">
        <x:v>Ejercicio</x:v>
      </x:c>
      <x:c r="B3" s="34" t="str">
        <x:v>Pregunta</x:v>
      </x:c>
      <x:c r="C3" s="34" t="str">
        <x:v>Respuesta de referencia</x:v>
      </x:c>
    </x:row>
    <x:row r="4" ht="15" hidden="0" customHeight="1">
      <x:c r="A4" s="23" t="str">
        <x:v>Punto 15</x:v>
      </x:c>
      <x:c r="B4" s="23" t="str">
        <x:v>¿Hay relación entre horas de capacitación y ventas?</x:v>
      </x:c>
      <x:c r="C4" s="23" t="str">
        <x:v>Sí. r≈0.985, por lo que existe una relación lineal positiva muy fuerte en estos datos.</x:v>
      </x:c>
    </x:row>
    <x:row r="5" ht="15" hidden="0" customHeight="1">
      <x:c r="A5" s="23" t="str">
        <x:v>Punto 15</x:v>
      </x:c>
      <x:c r="B5" s="23" t="str">
        <x:v>¿Es positiva o negativa?</x:v>
      </x:c>
      <x:c r="C5" s="23" t="str">
        <x:v>Positiva: al aumentar las horas de capacitación, las ventas también tienden a aumentar.</x:v>
      </x:c>
    </x:row>
    <x:row r="6" ht="15" hidden="0" customHeight="1">
      <x:c r="A6" s="23" t="str">
        <x:v>Punto 15</x:v>
      </x:c>
      <x:c r="B6" s="23" t="str">
        <x:v>¿Qué tan fuerte parece?</x:v>
      </x:c>
      <x:c r="C6" s="23" t="str">
        <x:v>Muy fuerte. r está muy cerca de +1 y R²≈0.970.</x:v>
      </x:c>
    </x:row>
    <x:row r="7" ht="26.399999618530273" hidden="0" customHeight="1">
      <x:c r="A7" s="23" t="str">
        <x:v>Punto 15</x:v>
      </x:c>
      <x:c r="B7" s="23" t="str">
        <x:v>¿Podemos decir que capacitación causa mayores ventas?</x:v>
      </x:c>
      <x:c r="C7" s="23" t="str">
        <x:v>No. La correlación muestra asociación, no causalidad.</x:v>
      </x:c>
    </x:row>
    <x:row r="8" ht="15" hidden="0" customHeight="1">
      <x:c r="A8" s="23" t="str">
        <x:v>Punto 17</x:v>
      </x:c>
      <x:c r="B8" s="23" t="str">
        <x:v>¿Cuál es la pregunta de investigación?</x:v>
      </x:c>
      <x:c r="C8" s="23" t="str">
        <x:v>¿El promedio de ventas mensuales es diferente de $13,000?</x:v>
      </x:c>
    </x:row>
    <x:row r="9" ht="15" hidden="0" customHeight="1">
      <x:c r="A9" s="23" t="str">
        <x:v>Punto 17</x:v>
      </x:c>
      <x:c r="B9" s="23" t="str">
        <x:v>¿Cuál es H0?</x:v>
      </x:c>
      <x:c r="C9" s="23" t="str">
        <x:v>H0: μ = $13,000.</x:v>
      </x:c>
    </x:row>
    <x:row r="10" ht="15" hidden="0" customHeight="1">
      <x:c r="A10" s="23" t="str">
        <x:v>Punto 17</x:v>
      </x:c>
      <x:c r="B10" s="23" t="str">
        <x:v>¿Cuál es H1?</x:v>
      </x:c>
      <x:c r="C10" s="23" t="str">
        <x:v>H1: μ ≠ $13,000. Es bilateral porque busca cualquier diferencia.</x:v>
      </x:c>
    </x:row>
    <x:row r="11" ht="15" hidden="0" customHeight="1">
      <x:c r="A11" s="23" t="str">
        <x:v>Punto 17</x:v>
      </x:c>
      <x:c r="B11" s="23" t="str">
        <x:v>¿Qué α usamos?</x:v>
      </x:c>
      <x:c r="C11" s="23" t="str">
        <x:v>α = 0.05.</x:v>
      </x:c>
    </x:row>
    <x:row r="12" ht="15" hidden="0" customHeight="1">
      <x:c r="A12" s="23" t="str">
        <x:v>Punto 17</x:v>
      </x:c>
      <x:c r="B12" s="23" t="str">
        <x:v>¿Qué prueba usamos?</x:v>
      </x:c>
      <x:c r="C12" s="23" t="str">
        <x:v>Prueba t de una muestra.</x:v>
      </x:c>
    </x:row>
    <x:row r="13" ht="15" hidden="0" customHeight="1">
      <x:c r="A13" s="23" t="str">
        <x:v>Punto 17</x:v>
      </x:c>
      <x:c r="B13" s="23" t="str">
        <x:v>¿Cuál es el resultado?</x:v>
      </x:c>
      <x:c r="C13" s="23" t="str">
        <x:v>Media≈$13,158.33; s≈$600.69; t≈0.913; gl=11; p≈0.381.</x:v>
      </x:c>
    </x:row>
    <x:row r="14" ht="15" hidden="0" customHeight="1">
      <x:c r="A14" s="23" t="str">
        <x:v>Punto 17</x:v>
      </x:c>
      <x:c r="B14" s="23" t="str">
        <x:v>¿Cuál es la decisión?</x:v>
      </x:c>
      <x:c r="C14" s="23" t="str">
        <x:v>Como p≈0.381 ≥ 0.05, no se rechaza H0.</x:v>
      </x:c>
    </x:row>
    <x:row r="15" ht="26.399999618530273" hidden="0" customHeight="1">
      <x:c r="A15" s="23" t="str">
        <x:v>Punto 17</x:v>
      </x:c>
      <x:c r="B15" s="23" t="str">
        <x:v>¿Qué significa empresarialmente?</x:v>
      </x:c>
      <x:c r="C15" s="23" t="str">
        <x:v>No hay evidencia estadística suficiente para afirmar que el promedio de ventas sea diferente de $13,000.</x:v>
      </x:c>
    </x:row>
    <x:row r="16"/>
    <x:row r="17"/>
    <x:row r="18"/>
    <x:row r="19"/>
    <x:row r="20"/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72" hidden="0" customWidth="1"/>
  </x:cols>
  <x:sheetData>
    <x:row r="1" ht="19.200000762939453" hidden="0" customHeight="1">
      <x:c r="A1" s="22" t="str">
        <x:v>Fórmulas utilizadas — explicación para el profesor</x:v>
      </x:c>
      <x:c r="B1" s="22"/>
      <x:c r="C1" s="22"/>
    </x:row>
    <x:row r="2" ht="15" hidden="0" customHeight="1">
      <x:c r="A2" s="23"/>
      <x:c r="B2" s="23"/>
      <x:c r="C2" s="23"/>
    </x:row>
    <x:row r="3" ht="15" hidden="0" customHeight="1">
      <x:c r="A3" s="34" t="str">
        <x:v>Concepto</x:v>
      </x:c>
      <x:c r="B3" s="34" t="str">
        <x:v>Fórmula / Excel</x:v>
      </x:c>
      <x:c r="C3" s="34" t="str">
        <x:v>Qué significa</x:v>
      </x:c>
    </x:row>
    <x:row r="4" ht="15" hidden="0" customHeight="1">
      <x:c r="A4" s="23" t="str">
        <x:v>Correlación</x:v>
      </x:c>
      <x:c r="B4" s="23" t="str">
        <x:v>=CORREL(B5:B9,C5:C9)</x:v>
      </x:c>
      <x:c r="C4" s="23" t="str">
        <x:v>Fuerza y dirección de la relación lineal entre dos variables.</x:v>
      </x:c>
    </x:row>
    <x:row r="5" ht="15" hidden="0" customHeight="1">
      <x:c r="A5" s="23" t="str">
        <x:v>R²</x:v>
      </x:c>
      <x:c r="B5" s="23" t="str">
        <x:v>=r^2</x:v>
      </x:c>
      <x:c r="C5" s="23" t="str">
        <x:v>Apoyo descriptivo: indica qué tan alineados están los datos con una relación lineal.</x:v>
      </x:c>
    </x:row>
    <x:row r="6" ht="15" hidden="0" customHeight="1">
      <x:c r="A6" s="23" t="str">
        <x:v>Media</x:v>
      </x:c>
      <x:c r="B6" s="23" t="str">
        <x:v>=AVERAGE(B7:B18)</x:v>
      </x:c>
      <x:c r="C6" s="23" t="str">
        <x:v>Promedio de ventas de la muestra.</x:v>
      </x:c>
    </x:row>
    <x:row r="7" ht="15" hidden="0" customHeight="1">
      <x:c r="A7" s="23" t="str">
        <x:v>Desviación estándar</x:v>
      </x:c>
      <x:c r="B7" s="23" t="str">
        <x:v>=STDEV.S(B7:B18)</x:v>
      </x:c>
      <x:c r="C7" s="23" t="str">
        <x:v>Qué tan dispersas están las ventas de la muestra.</x:v>
      </x:c>
    </x:row>
    <x:row r="8" ht="15" hidden="0" customHeight="1">
      <x:c r="A8" s="23" t="str">
        <x:v>Error estándar</x:v>
      </x:c>
      <x:c r="B8" s="23" t="str">
        <x:v>=s/SQRT(n)</x:v>
      </x:c>
      <x:c r="C8" s="23" t="str">
        <x:v>Variabilidad esperada de la media muestral.</x:v>
      </x:c>
    </x:row>
    <x:row r="9" ht="15" hidden="0" customHeight="1">
      <x:c r="A9" s="23" t="str">
        <x:v>t de una muestra</x:v>
      </x:c>
      <x:c r="B9" s="23" t="str">
        <x:v>=(x̄-μ0)/(s/SQRT(n))</x:v>
      </x:c>
      <x:c r="C9" s="23" t="str">
        <x:v>Distancia de la media observada respecto a H0, medida en errores estándar.</x:v>
      </x:c>
    </x:row>
    <x:row r="10" ht="15" hidden="0" customHeight="1">
      <x:c r="A10" s="23" t="str">
        <x:v>p-valor bilateral</x:v>
      </x:c>
      <x:c r="B10" s="23" t="str">
        <x:v>=T.DIST.2T(ABS(t),gl)</x:v>
      </x:c>
      <x:c r="C10" s="23" t="str">
        <x:v>Ayuda a decidir si hay evidencia suficiente contra H0.</x:v>
      </x:c>
    </x:row>
    <x:row r="11" ht="15" hidden="0" customHeight="1">
      <x:c r="A11" s="23" t="str">
        <x:v>Decisión</x:v>
      </x:c>
      <x:c r="B11" s="23" t="str">
        <x:v>=IF(p&lt;α,"Rechazar H0","No rechazar H0")</x:v>
      </x:c>
      <x:c r="C11" s="23" t="str">
        <x:v>Regla introductoria utilizada en clase.</x:v>
      </x:c>
    </x:row>
    <x:row r="12" ht="15" hidden="0" customHeight="1">
      <x:c r="A12" s="23"/>
      <x:c r="B12" s="23"/>
      <x:c r="C12" s="23"/>
    </x:row>
    <x:row r="13" ht="15" hidden="0" customHeight="1">
      <x:c r="A13" s="23"/>
      <x:c r="B13" s="23"/>
      <x:c r="C13" s="23"/>
    </x:row>
    <x:row r="14" ht="15" hidden="0" customHeight="1">
      <x:c r="A14" s="23"/>
      <x:c r="B14" s="23"/>
      <x:c r="C14" s="23"/>
    </x:row>
    <x:row r="15" ht="15" hidden="0" customHeight="1">
      <x:c r="A15" s="23"/>
      <x:c r="B15" s="23"/>
      <x:c r="C15" s="23"/>
    </x:row>
    <x:row r="16" ht="15" hidden="0" customHeight="1">
      <x:c r="A16" s="23"/>
      <x:c r="B16" s="23"/>
      <x:c r="C16" s="23"/>
    </x:row>
    <x:row r="17" ht="15" hidden="0" customHeight="1">
      <x:c r="A17" s="23"/>
      <x:c r="B17" s="23"/>
      <x:c r="C17" s="23"/>
    </x:row>
    <x:row r="18" ht="15" hidden="0" customHeight="1">
      <x:c r="A18" s="23"/>
      <x:c r="B18" s="23"/>
      <x:c r="C18" s="23"/>
    </x:row>
    <x:row r="19" ht="15" hidden="0" customHeight="1">
      <x:c r="A19" s="23"/>
      <x:c r="B19" s="23"/>
      <x:c r="C19" s="23"/>
    </x:row>
    <x:row r="20" ht="15" hidden="0" customHeight="1">
      <x:c r="A20" s="23"/>
      <x:c r="B20" s="23"/>
      <x:c r="C20" s="23"/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Gráficas para explicar los resultados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34" t="str">
        <x:v>Concepto</x:v>
      </x:c>
      <x:c r="B3" s="34" t="str">
        <x:v>Valor</x:v>
      </x:c>
    </x:row>
    <x:row r="4">
      <x:c r="A4" t="str">
        <x:v>Media muestral</x:v>
      </x:c>
      <x:c r="B4" s="58" t="n">
        <x:v>13158.3333333333</x:v>
      </x:c>
    </x:row>
    <x:row r="5">
      <x:c r="A5" t="str">
        <x:v>Valor de H0</x:v>
      </x:c>
      <x:c r="B5" s="58" t="n">
        <x:v>13000</x:v>
      </x:c>
    </x:row>
    <x:row r="25">
      <x:c r="A25" s="17" t="str">
        <x:v>Lectura: la media muestral ($13,158.33) está algo por encima de $13,000, pero la prueba t muestra que esa diferencia no es estadísticamente significativa con α=0.05.</x:v>
      </x:c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</x:sheetData>
  <x:mergeCells>
    <x:mergeCell ref="A1:J1"/>
    <x:mergeCell ref="A25:H28"/>
  </x:mergeCells>
  <x:pageMargins left="0.7" right="0.7" top="0.75" bottom="0.75" header="0.3" footer="0.3"/>
  <x:drawing xmlns:r="http://schemas.openxmlformats.org/officeDocument/2006/relationships" r:id="Rfc9349694aac4c79"/>
</x:worksheet>
</file>